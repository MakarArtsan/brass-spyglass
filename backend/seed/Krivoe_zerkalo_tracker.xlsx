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шборд" sheetId="1" state="visible" r:id="rId3"/>
    <sheet name="Сцены" sheetId="2" state="visible" r:id="rId4"/>
    <sheet name="Шоты" sheetId="3" state="visible" r:id="rId5"/>
    <sheet name="Ассеты" sheetId="4" state="visible" r:id="rId6"/>
    <sheet name="Сетапы" sheetId="5" state="visible" r:id="rId7"/>
    <sheet name="Звук" sheetId="6" state="visible" r:id="rId8"/>
    <sheet name="Задачи" sheetId="7" state="visible" r:id="rId9"/>
    <sheet name="Справочник" sheetId="8" state="visible" r:id="rId10"/>
  </sheets>
  <definedNames>
    <definedName function="false" hidden="true" localSheetId="3" name="_xlnm._FilterDatabase" vbProcedure="false">Ассеты!$A$1:$M$500</definedName>
    <definedName function="false" hidden="true" localSheetId="6" name="_xlnm._FilterDatabase" vbProcedure="false">Задачи!$A$1:$I$500</definedName>
    <definedName function="false" hidden="true" localSheetId="5" name="_xlnm._FilterDatabase" vbProcedure="false">Звук!$A$1:$J$500</definedName>
    <definedName function="false" hidden="true" localSheetId="4" name="_xlnm._FilterDatabase" vbProcedure="false">Сетапы!$A$1:$H$500</definedName>
    <definedName function="false" hidden="true" localSheetId="1" name="_xlnm._FilterDatabase" vbProcedure="false">Сцены!$A$1:$W$500</definedName>
    <definedName function="false" hidden="true" localSheetId="2" name="_xlnm._FilterDatabase" vbProcedure="false">Шоты!$A$1:$Q$500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Меняйте длительность здесь: таймкоды всех следующих сцен пересчитаются сами.</t>
        </r>
      </text>
    </comment>
    <comment ref="F1" authorId="0">
      <text>
        <r>
          <rPr>
            <sz val="10"/>
            <rFont val="Arial"/>
            <family val="2"/>
          </rPr>
          <t xml:space="preserve">Считается автоматически. Не редактируйте.</t>
        </r>
      </text>
    </comment>
    <comment ref="G1" authorId="0">
      <text>
        <r>
          <rPr>
            <sz val="10"/>
            <rFont val="Arial"/>
            <family val="2"/>
          </rPr>
          <t xml:space="preserve">Считается автоматически. Не редактируйте.</t>
        </r>
      </text>
    </comment>
    <comment ref="K1" authorId="0">
      <text>
        <r>
          <rPr>
            <sz val="10"/>
            <rFont val="Arial"/>
            <family val="2"/>
          </rPr>
          <t xml:space="preserve">Громкость/плотность барабана. По ней строится кривая на Дашборде.</t>
        </r>
      </text>
    </comment>
    <comment ref="N1" authorId="0">
      <text>
        <r>
          <rPr>
            <sz val="10"/>
            <rFont val="Arial"/>
            <family val="2"/>
          </rPr>
          <t xml:space="preserve">Считается автоматически. Не редактируйте.</t>
        </r>
      </text>
    </comment>
    <comment ref="O1" authorId="0">
      <text>
        <r>
          <rPr>
            <sz val="10"/>
            <rFont val="Arial"/>
            <family val="2"/>
          </rPr>
          <t xml:space="preserve">Считается автоматически. Не редактируйте.</t>
        </r>
      </text>
    </comment>
    <comment ref="P1" authorId="0">
      <text>
        <r>
          <rPr>
            <sz val="10"/>
            <rFont val="Arial"/>
            <family val="2"/>
          </rPr>
          <t xml:space="preserve">Сумма длительностей шотов минус план сцены. Красным, если расходится больше чем на 2 сек.</t>
        </r>
      </text>
    </comment>
    <comment ref="Q1" authorId="0">
      <text>
        <r>
          <rPr>
            <sz val="10"/>
            <rFont val="Arial"/>
            <family val="2"/>
          </rPr>
          <t xml:space="preserve">Считается автоматически. Не редактируйте.</t>
        </r>
      </text>
    </comment>
    <comment ref="R1" authorId="0">
      <text>
        <r>
          <rPr>
            <sz val="10"/>
            <rFont val="Arial"/>
            <family val="2"/>
          </rPr>
          <t xml:space="preserve">Считается автоматически. Не редактируйте.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Длительность в монтаже. Оранжевым, если больше 15 сек (максимум одного клипа Seedance).</t>
        </r>
      </text>
    </comment>
    <comment ref="G1" authorId="0">
      <text>
        <r>
          <rPr>
            <sz val="10"/>
            <rFont val="Arial"/>
            <family val="2"/>
          </rPr>
          <t xml:space="preserve">ID через запятую, как на листе «Ассеты» (CH-01, PR-01...). По ним считается, в скольких шотах участвует ассет.</t>
        </r>
      </text>
    </comment>
    <comment ref="I1" authorId="0">
      <text>
        <r>
          <rPr>
            <sz val="10"/>
            <rFont val="Arial"/>
            <family val="2"/>
          </rPr>
          <t xml:space="preserve">Чем генерируется кадр. По этой колонке Дашборд считает долю Seedance (по правилам ≥70%).</t>
        </r>
      </text>
    </comment>
    <comment ref="J1" authorId="0">
      <text>
        <r>
          <rPr>
            <sz val="10"/>
            <rFont val="Arial"/>
            <family val="2"/>
          </rPr>
          <t xml:space="preserve">Где шот сейчас: раскадровка → блокаут → промпт → генерация → отбор дубля → монтаж → финал.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Все версии одного объекта: генерировать с одного референса, чтобы он не «плыл» между шотами.</t>
        </r>
      </text>
    </comment>
    <comment ref="G1" authorId="0">
      <text>
        <r>
          <rPr>
            <sz val="10"/>
            <rFont val="Arial"/>
            <family val="2"/>
          </rPr>
          <t xml:space="preserve">Сколько шотов на листе «Шоты» используют этот ID. 0 — ассет нигде не задействован. Чем больше число, тем важнее консистентный референс.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По правилам английские субтитры обязательны, даже если речь английская.</t>
        </r>
      </text>
    </comment>
    <comment ref="H1" authorId="0">
      <text>
        <r>
          <rPr>
            <sz val="10"/>
            <rFont val="Arial"/>
            <family val="2"/>
          </rPr>
          <t xml:space="preserve">Голос и музыка должны быть с чистыми правами: свой, лицензированный или сгенерированный по лицензии.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Считается автоматически. Не редактируйте.</t>
        </r>
      </text>
    </comment>
  </commentList>
</comments>
</file>

<file path=xl/sharedStrings.xml><?xml version="1.0" encoding="utf-8"?>
<sst xmlns="http://schemas.openxmlformats.org/spreadsheetml/2006/main" count="1766" uniqueCount="863">
  <si>
    <t xml:space="preserve">БИТВА ПРИ КРИВОМ ЗЕРКАЛЕ · The Brass Spyglass</t>
  </si>
  <si>
    <t xml:space="preserve">Производственный трекер · 1 Billion AI Film Award 2027 (1 Billion Followers Summit × BytePlus Seedance)</t>
  </si>
  <si>
    <t xml:space="preserve">Ключевые цифры</t>
  </si>
  <si>
    <t xml:space="preserve">Значение</t>
  </si>
  <si>
    <t xml:space="preserve">Цель</t>
  </si>
  <si>
    <t xml:space="preserve">Проверка</t>
  </si>
  <si>
    <t xml:space="preserve">Официальный дедлайн (Дубай, UTC+4)</t>
  </si>
  <si>
    <t xml:space="preserve">22:59 МСК</t>
  </si>
  <si>
    <t xml:space="preserve">Наш внутренний срок подачи</t>
  </si>
  <si>
    <t xml:space="preserve">запас 2 дня</t>
  </si>
  <si>
    <t xml:space="preserve">Дней до внутреннего срока</t>
  </si>
  <si>
    <t xml:space="preserve">Хронометраж по плану сцен, сек</t>
  </si>
  <si>
    <t xml:space="preserve">300–420</t>
  </si>
  <si>
    <t xml:space="preserve">   то же в мм:сс</t>
  </si>
  <si>
    <t xml:space="preserve">5:00–7:00</t>
  </si>
  <si>
    <t xml:space="preserve">Хронометраж по шотам (без вырезанных), сек</t>
  </si>
  <si>
    <t xml:space="preserve">Доля Seedance по шотам</t>
  </si>
  <si>
    <t xml:space="preserve">≥ 70%</t>
  </si>
  <si>
    <t xml:space="preserve">Готово секунд фильма</t>
  </si>
  <si>
    <t xml:space="preserve">Просроченных пунктов (все листы)</t>
  </si>
  <si>
    <t xml:space="preserve">0</t>
  </si>
  <si>
    <t xml:space="preserve">Ассетов, которых нет ни в одном шоте</t>
  </si>
  <si>
    <t xml:space="preserve">Сцен, где шоты расходятся с планом &gt; 2 сек</t>
  </si>
  <si>
    <t xml:space="preserve">Шотов длиннее 15 сек (лимит клипа Seedance)</t>
  </si>
  <si>
    <t xml:space="preserve">Прогресс по листам</t>
  </si>
  <si>
    <t xml:space="preserve">Лист</t>
  </si>
  <si>
    <t xml:space="preserve">Всего</t>
  </si>
  <si>
    <t xml:space="preserve">Не начато</t>
  </si>
  <si>
    <t xml:space="preserve">В работе</t>
  </si>
  <si>
    <t xml:space="preserve">На проверке</t>
  </si>
  <si>
    <t xml:space="preserve">Доработать</t>
  </si>
  <si>
    <t xml:space="preserve">Готово</t>
  </si>
  <si>
    <t xml:space="preserve">Вырезано</t>
  </si>
  <si>
    <t xml:space="preserve">% готово</t>
  </si>
  <si>
    <t xml:space="preserve">Сцены</t>
  </si>
  <si>
    <t xml:space="preserve">Шоты</t>
  </si>
  <si>
    <t xml:space="preserve">Ассеты</t>
  </si>
  <si>
    <t xml:space="preserve">Сетапы</t>
  </si>
  <si>
    <t xml:space="preserve">Звук</t>
  </si>
  <si>
    <t xml:space="preserve">Задачи</t>
  </si>
  <si>
    <t xml:space="preserve">Шоты по этапам</t>
  </si>
  <si>
    <t xml:space="preserve">Этап</t>
  </si>
  <si>
    <t xml:space="preserve">Шотов</t>
  </si>
  <si>
    <t xml:space="preserve">Секунд</t>
  </si>
  <si>
    <t xml:space="preserve">Раскадровка</t>
  </si>
  <si>
    <t xml:space="preserve">Блокаут</t>
  </si>
  <si>
    <t xml:space="preserve">Промпт</t>
  </si>
  <si>
    <t xml:space="preserve">Генерация</t>
  </si>
  <si>
    <t xml:space="preserve">Отбор дубля</t>
  </si>
  <si>
    <t xml:space="preserve">В монтаже</t>
  </si>
  <si>
    <t xml:space="preserve">Финал</t>
  </si>
  <si>
    <t xml:space="preserve">Требования конкурса (сверено 30.10.2026)</t>
  </si>
  <si>
    <t xml:space="preserve">•  Хронометраж 5–7 минут, одна законченная история, сделанная специально для конкурса</t>
  </si>
  <si>
    <t xml:space="preserve">•  16:9, 1080p, MOV или MP4; интро-карточка организатора идёт перед фильмом</t>
  </si>
  <si>
    <t xml:space="preserve">•  Seedance — основной инструмент и генерирует не меньше 70% готового фильма</t>
  </si>
  <si>
    <t xml:space="preserve">•  Английские субтитры обязательны, даже если речь на английском</t>
  </si>
  <si>
    <t xml:space="preserve">•  Ссылка на фильм — приватная или unlisted</t>
  </si>
  <si>
    <t xml:space="preserve">•  Тема — одна из пяти: Society &amp; Humanitarian · Truth, Fake News &amp; Misinformation · Humans &amp; AI · Climate &amp; Nature · Human Relationships</t>
  </si>
  <si>
    <t xml:space="preserve">•  Оценка: AI Integration 30 · Storytelling 30 · Creativity &amp; Aesthetic 20 · Technical Execution 20</t>
  </si>
  <si>
    <t xml:space="preserve">•  Дальше: Top-10 и зрительское голосование 15.12, Top-5 25.12, финал в Дубае 8–10.01.2027</t>
  </si>
  <si>
    <t xml:space="preserve">Источник: aifilmcontests.com/topics/1-billion-followers-summit-ai-film-award-2027 (пересказ официальных правил). Перед сдачей сверить с 1billionsummit.com.</t>
  </si>
  <si>
    <t xml:space="preserve">Как пользоваться</t>
  </si>
  <si>
    <t xml:space="preserve">1. Статус выбирается из выпадающего списка — строка сама окрашивается в цвет статуса.</t>
  </si>
  <si>
    <t xml:space="preserve">2. Тёмно-синие заголовки — заполняете вы. Серо-синие заголовки — формулы, их не трогать.</t>
  </si>
  <si>
    <t xml:space="preserve">3. Дедлайн становится красным, если просрочен, и оранжевым, если до него 2 дня или меньше.</t>
  </si>
  <si>
    <t xml:space="preserve">4. Длительность сцены меняется на листе «Сцены» в колонке «План, сек» — таймкоды пересчитаются.</t>
  </si>
  <si>
    <t xml:space="preserve">5. В «Шотах» пишите ID ассетов через запятую: так лист «Ассеты» считает, где каждый задействован.</t>
  </si>
  <si>
    <t xml:space="preserve">6. Колонка «Инструмент» в «Шотах» кормит проверку 70% Seedance. Не забывайте менять её, если кадр сделан не в Seedance.</t>
  </si>
  <si>
    <t xml:space="preserve">7. Новые строки добавляйте прямо под существующими: списки и подсветка работают до 500-й строки.</t>
  </si>
  <si>
    <t xml:space="preserve">№</t>
  </si>
  <si>
    <t xml:space="preserve">Сцена</t>
  </si>
  <si>
    <t xml:space="preserve">Локация</t>
  </si>
  <si>
    <t xml:space="preserve">Время суток</t>
  </si>
  <si>
    <t xml:space="preserve">План, сек</t>
  </si>
  <si>
    <t xml:space="preserve">Начало</t>
  </si>
  <si>
    <t xml:space="preserve">Конец</t>
  </si>
  <si>
    <t xml:space="preserve">Персонажи</t>
  </si>
  <si>
    <t xml:space="preserve">Ключевые ассеты</t>
  </si>
  <si>
    <t xml:space="preserve">Реплики (EN)</t>
  </si>
  <si>
    <t xml:space="preserve">Барабан 0–5</t>
  </si>
  <si>
    <t xml:space="preserve">Смысл сцены</t>
  </si>
  <si>
    <t xml:space="preserve">Если сокращать</t>
  </si>
  <si>
    <t xml:space="preserve">Сумма шотов, сек</t>
  </si>
  <si>
    <t xml:space="preserve">Δ шоты − план</t>
  </si>
  <si>
    <t xml:space="preserve">Готово шотов</t>
  </si>
  <si>
    <t xml:space="preserve">% готовности</t>
  </si>
  <si>
    <t xml:space="preserve">Статус</t>
  </si>
  <si>
    <t xml:space="preserve">Приоритет</t>
  </si>
  <si>
    <t xml:space="preserve">Ответственный</t>
  </si>
  <si>
    <t xml:space="preserve">Дедлайн</t>
  </si>
  <si>
    <t xml:space="preserve">Комментарий</t>
  </si>
  <si>
    <t xml:space="preserve">Два зеркала</t>
  </si>
  <si>
    <t xml:space="preserve">Пролив, обе стены</t>
  </si>
  <si>
    <t xml:space="preserve">Утро</t>
  </si>
  <si>
    <t xml:space="preserve">Оба дозорных</t>
  </si>
  <si>
    <t xml:space="preserve">Кривые трубы, оба острова, силуэт третьего острова</t>
  </si>
  <si>
    <t xml:space="preserve">— (ветер, чайки, скрип труб)</t>
  </si>
  <si>
    <t xml:space="preserve">Главная шутка: труба искажает. Оба берега бедные.</t>
  </si>
  <si>
    <t xml:space="preserve">Не трогать: здесь сетап третьего острова</t>
  </si>
  <si>
    <t xml:space="preserve">Высокий</t>
  </si>
  <si>
    <t xml:space="preserve">Блеф как политика</t>
  </si>
  <si>
    <t xml:space="preserve">Дворцы Севера и Юга</t>
  </si>
  <si>
    <t xml:space="preserve">День</t>
  </si>
  <si>
    <t xml:space="preserve">Оба правителя, слуги</t>
  </si>
  <si>
    <t xml:space="preserve">Трубы правителей, золотая ткань, медный купол</t>
  </si>
  <si>
    <t xml:space="preserve">We are poor. But they? Look how they shine!</t>
  </si>
  <si>
    <t xml:space="preserve">Каждый уверен, что блефует только он. Мотор фильма.</t>
  </si>
  <si>
    <t xml:space="preserve">До 4 мин: склеить со сц. 3</t>
  </si>
  <si>
    <t xml:space="preserve">Средний</t>
  </si>
  <si>
    <t xml:space="preserve">Овца</t>
  </si>
  <si>
    <t xml:space="preserve">Мастерская красильщика (Север)</t>
  </si>
  <si>
    <t xml:space="preserve">Рассвет</t>
  </si>
  <si>
    <t xml:space="preserve">Красильщик</t>
  </si>
  <si>
    <t xml:space="preserve">Овца, чан с оранжевой водной краской</t>
  </si>
  <si>
    <t xml:space="preserve">—</t>
  </si>
  <si>
    <t xml:space="preserve">Рождение «тигра». Краска водная (сетап к сц. 11).</t>
  </si>
  <si>
    <t xml:space="preserve">До 4 мин: склеить со сц. 2</t>
  </si>
  <si>
    <t xml:space="preserve">Тигр</t>
  </si>
  <si>
    <t xml:space="preserve">Южная стена → улицы → дворец Юга</t>
  </si>
  <si>
    <t xml:space="preserve">Дозорный Юга, правитель Юга</t>
  </si>
  <si>
    <t xml:space="preserve">Кривая труба, полосатая овца</t>
  </si>
  <si>
    <t xml:space="preserve">Ma lord, ma lord! The North has TIGERS! / Many. Angry. One with a tail. / We have no tigers.</t>
  </si>
  <si>
    <t xml:space="preserve">Дозорный накидывает подробности, никто не проверяет.</t>
  </si>
  <si>
    <t xml:space="preserve">До 3 мин: сц. 1–4 одним блоком «тигр»</t>
  </si>
  <si>
    <t xml:space="preserve">Юг отвечает: слон</t>
  </si>
  <si>
    <t xml:space="preserve">Двор дворца Юга, набережная</t>
  </si>
  <si>
    <t xml:space="preserve">Ночь → утро</t>
  </si>
  <si>
    <t xml:space="preserve">Правитель Юга, ремесленники</t>
  </si>
  <si>
    <t xml:space="preserve">«Бронированный слон» (3 осла, ковёр, печные трубы)</t>
  </si>
  <si>
    <t xml:space="preserve">Terror. But affordable.</t>
  </si>
  <si>
    <t xml:space="preserve">Первый ответный фейк.</t>
  </si>
  <si>
    <t xml:space="preserve">До 4 мин: склеить со сц. 6</t>
  </si>
  <si>
    <t xml:space="preserve">Север отвечает</t>
  </si>
  <si>
    <t xml:space="preserve">Таверна, крыши, кузница (Север)</t>
  </si>
  <si>
    <t xml:space="preserve">День → вечер</t>
  </si>
  <si>
    <t xml:space="preserve">Дозорный Севера, правитель Севера, слушатели, кузнецы</t>
  </si>
  <si>
    <t xml:space="preserve">Тазы-щиты, чёрный дым</t>
  </si>
  <si>
    <t xml:space="preserve">A hundred elephants. They breathe fire. / A thousand soldiers. By morning.</t>
  </si>
  <si>
    <t xml:space="preserve">Эскалация: подробностей больше, ответ дороже.</t>
  </si>
  <si>
    <t xml:space="preserve">До 4 мин: склеить со сц. 5</t>
  </si>
  <si>
    <t xml:space="preserve">Гонка бутафории (монтаж)</t>
  </si>
  <si>
    <t xml:space="preserve">Обе стороны</t>
  </si>
  <si>
    <t xml:space="preserve">Ремесленники, оба правителя</t>
  </si>
  <si>
    <t xml:space="preserve">Великаны на ходулях, чучела, брёвна-пушки, бочки, овцы-тигры, ослы в кастрюлях</t>
  </si>
  <si>
    <t xml:space="preserve">Каждая выдумка нелепее. Барабаны нарастают.</t>
  </si>
  <si>
    <t xml:space="preserve">До 4 мин: две пары вместо трёх</t>
  </si>
  <si>
    <t xml:space="preserve">Смех становится страхом</t>
  </si>
  <si>
    <t xml:space="preserve">Стены и переулки</t>
  </si>
  <si>
    <t xml:space="preserve">Сумерки</t>
  </si>
  <si>
    <t xml:space="preserve">Жители, мальчишки-бегуны, барабанщик</t>
  </si>
  <si>
    <t xml:space="preserve">Трубы, картонные мечи</t>
  </si>
  <si>
    <t xml:space="preserve">Attack at dawn!</t>
  </si>
  <si>
    <t xml:space="preserve">Фейк работает против своих создателей.</t>
  </si>
  <si>
    <t xml:space="preserve">До 4 мин: склеить со сц. 9</t>
  </si>
  <si>
    <t xml:space="preserve">Решение правителей</t>
  </si>
  <si>
    <t xml:space="preserve">Дворцы</t>
  </si>
  <si>
    <t xml:space="preserve">Вечер</t>
  </si>
  <si>
    <t xml:space="preserve">Оба правителя</t>
  </si>
  <si>
    <t xml:space="preserve">Бутафория, туман над проливом</t>
  </si>
  <si>
    <t xml:space="preserve">In the fog, a donkey is a dragon.</t>
  </si>
  <si>
    <t xml:space="preserve">Ставка на туман. Встречу флотилий никто не предвидит.</t>
  </si>
  <si>
    <t xml:space="preserve">До 4 мин: склеить со сц. 8</t>
  </si>
  <si>
    <t xml:space="preserve">Ночь, туман</t>
  </si>
  <si>
    <t xml:space="preserve">Пролив</t>
  </si>
  <si>
    <t xml:space="preserve">Ночь</t>
  </si>
  <si>
    <t xml:space="preserve">Флотилии, старики и мальчишки, дозорные</t>
  </si>
  <si>
    <t xml:space="preserve">Обе флотилии, чучела, овцы-тигры, тазы, туман</t>
  </si>
  <si>
    <t xml:space="preserve">— (блеяние)</t>
  </si>
  <si>
    <t xml:space="preserve">Саспенс. Юмор только в деталях.</t>
  </si>
  <si>
    <t xml:space="preserve">До 4 мин: склеить со сц. 11</t>
  </si>
  <si>
    <t xml:space="preserve">Кривое зеркало</t>
  </si>
  <si>
    <t xml:space="preserve">Все, мальчишка-барабанщик</t>
  </si>
  <si>
    <t xml:space="preserve">Слон (распад), смытая овца, тазы, деревянные мечи</t>
  </si>
  <si>
    <t xml:space="preserve">— (10 сек тишины, смех)</t>
  </si>
  <si>
    <t xml:space="preserve">Момент истины. Буквальное зеркало страха и тщеславия.</t>
  </si>
  <si>
    <t xml:space="preserve">Не сокращать паузу в 10 сек</t>
  </si>
  <si>
    <t xml:space="preserve">Мост из лодок и кода</t>
  </si>
  <si>
    <t xml:space="preserve">Пролив, плавучий базар</t>
  </si>
  <si>
    <t xml:space="preserve">Все, оба дозорных</t>
  </si>
  <si>
    <t xml:space="preserve">Лодки, еда, кривая труба, третий остров</t>
  </si>
  <si>
    <t xml:space="preserve">Ma lord?!</t>
  </si>
  <si>
    <t xml:space="preserve">Никто ничему не научился, всё заново.</t>
  </si>
  <si>
    <t xml:space="preserve">Кода сокращается до кадра с трубой</t>
  </si>
  <si>
    <t xml:space="preserve">ИТОГО</t>
  </si>
  <si>
    <t xml:space="preserve">ID</t>
  </si>
  <si>
    <t xml:space="preserve">Описание кадра</t>
  </si>
  <si>
    <t xml:space="preserve">Крупность</t>
  </si>
  <si>
    <t xml:space="preserve">Камера / движение</t>
  </si>
  <si>
    <t xml:space="preserve">Длит., сек</t>
  </si>
  <si>
    <t xml:space="preserve">Ассеты в кадре (ID)</t>
  </si>
  <si>
    <t xml:space="preserve">Реплика / звук</t>
  </si>
  <si>
    <t xml:space="preserve">Инструмент</t>
  </si>
  <si>
    <t xml:space="preserve">Дублей</t>
  </si>
  <si>
    <t xml:space="preserve">Выбранный дубль / файл</t>
  </si>
  <si>
    <t xml:space="preserve">01.01</t>
  </si>
  <si>
    <t xml:space="preserve">Симметричный общий: два острова, пролив, на каждом стена-крепость</t>
  </si>
  <si>
    <t xml:space="preserve">Общий</t>
  </si>
  <si>
    <t xml:space="preserve">Статика / медленный наезд</t>
  </si>
  <si>
    <t xml:space="preserve">LC-01, LC-02, LC-03</t>
  </si>
  <si>
    <t xml:space="preserve">Ветер, чайки</t>
  </si>
  <si>
    <t xml:space="preserve">Seedance</t>
  </si>
  <si>
    <t xml:space="preserve">01.02</t>
  </si>
  <si>
    <t xml:space="preserve">Дозорный Севера на стене поднимает огромную медную трубу</t>
  </si>
  <si>
    <t xml:space="preserve">Статика</t>
  </si>
  <si>
    <t xml:space="preserve">CH-01, PR-01, LC-02</t>
  </si>
  <si>
    <t xml:space="preserve">Скрип трубы</t>
  </si>
  <si>
    <t xml:space="preserve">01.03</t>
  </si>
  <si>
    <t xml:space="preserve">Дозорный Юга зеркально поднимает свою трубу</t>
  </si>
  <si>
    <t xml:space="preserve">Статика, зеркально 1.2</t>
  </si>
  <si>
    <t xml:space="preserve">CH-02, PR-01, LC-03</t>
  </si>
  <si>
    <t xml:space="preserve">01.04</t>
  </si>
  <si>
    <t xml:space="preserve">Через трубу: золотые купола, знамёна, богатый город</t>
  </si>
  <si>
    <t xml:space="preserve">POV трубы</t>
  </si>
  <si>
    <t xml:space="preserve">Плавный проход</t>
  </si>
  <si>
    <t xml:space="preserve">ST-01, LC-02</t>
  </si>
  <si>
    <t xml:space="preserve">01.05</t>
  </si>
  <si>
    <t xml:space="preserve">Без трубы: заплатки на крышах, облупленная штукатурка, бельё</t>
  </si>
  <si>
    <t xml:space="preserve">Тот же ракурс, что 1.4</t>
  </si>
  <si>
    <t xml:space="preserve">LC-02, PR-16</t>
  </si>
  <si>
    <t xml:space="preserve">01.06</t>
  </si>
  <si>
    <t xml:space="preserve">Дозорные смотрят друг на друга; на краю горизонта мелькает силуэт третьего острова</t>
  </si>
  <si>
    <t xml:space="preserve">CH-01, CH-02, LC-14</t>
  </si>
  <si>
    <t xml:space="preserve">02.01</t>
  </si>
  <si>
    <t xml:space="preserve">Правитель Севера смотрит в трубу на соседа и вздыхает</t>
  </si>
  <si>
    <t xml:space="preserve">CH-03, PR-02, LC-04</t>
  </si>
  <si>
    <t xml:space="preserve">02.02</t>
  </si>
  <si>
    <t xml:space="preserve">Правитель Юга зеркально</t>
  </si>
  <si>
    <t xml:space="preserve">Зеркально 2.1</t>
  </si>
  <si>
    <t xml:space="preserve">CH-04, PR-02, LC-05</t>
  </si>
  <si>
    <t xml:space="preserve">02.03</t>
  </si>
  <si>
    <t xml:space="preserve">Слуги закрывают дыры в стене золотой тканью</t>
  </si>
  <si>
    <t xml:space="preserve">Панорама</t>
  </si>
  <si>
    <t xml:space="preserve">CH-09, PR-04, LC-04</t>
  </si>
  <si>
    <t xml:space="preserve">02.04</t>
  </si>
  <si>
    <t xml:space="preserve">Слуги натирают рукавами медный купол</t>
  </si>
  <si>
    <t xml:space="preserve">CH-09, LC-05</t>
  </si>
  <si>
    <t xml:space="preserve">02.05</t>
  </si>
  <si>
    <t xml:space="preserve">Правитель Севера: реплика</t>
  </si>
  <si>
    <t xml:space="preserve">Крупный</t>
  </si>
  <si>
    <t xml:space="preserve">CH-03, LC-04</t>
  </si>
  <si>
    <t xml:space="preserve">02.06</t>
  </si>
  <si>
    <t xml:space="preserve">Правитель Юга: та же реплика зеркально</t>
  </si>
  <si>
    <t xml:space="preserve">Зеркально 2.5</t>
  </si>
  <si>
    <t xml:space="preserve">CH-04, LC-05</t>
  </si>
  <si>
    <t xml:space="preserve">03.01</t>
  </si>
  <si>
    <t xml:space="preserve">Мастерская красильщика у стены, овца у чана</t>
  </si>
  <si>
    <t xml:space="preserve">CH-05, AN-01, PR-03, LC-06</t>
  </si>
  <si>
    <t xml:space="preserve">03.02</t>
  </si>
  <si>
    <t xml:space="preserve">Красильщик спотыкается, чан с оранжевой краской опрокидывается</t>
  </si>
  <si>
    <t xml:space="preserve">Ручная камера</t>
  </si>
  <si>
    <t xml:space="preserve">CH-05, PR-03, LC-06</t>
  </si>
  <si>
    <t xml:space="preserve">Грохот, плеск</t>
  </si>
  <si>
    <t xml:space="preserve">03.03</t>
  </si>
  <si>
    <t xml:space="preserve">Овца в саже и жидкой краске выскакивает (видно, что краска водная, капает)</t>
  </si>
  <si>
    <t xml:space="preserve">Следим за овцой</t>
  </si>
  <si>
    <t xml:space="preserve">AN-01, PR-03</t>
  </si>
  <si>
    <t xml:space="preserve">Блеяние</t>
  </si>
  <si>
    <t xml:space="preserve">03.04</t>
  </si>
  <si>
    <t xml:space="preserve">Овца несётся по ступеням на стену</t>
  </si>
  <si>
    <t xml:space="preserve">Проводка</t>
  </si>
  <si>
    <t xml:space="preserve">AN-01, LC-02</t>
  </si>
  <si>
    <t xml:space="preserve">03.05</t>
  </si>
  <si>
    <t xml:space="preserve">Полосатая овца в героической позе на фоне рассвета</t>
  </si>
  <si>
    <t xml:space="preserve">Нижний ракурс, статика</t>
  </si>
  <si>
    <t xml:space="preserve">AN-01, EF-04, LC-02</t>
  </si>
  <si>
    <t xml:space="preserve">Пауза</t>
  </si>
  <si>
    <t xml:space="preserve">04.01</t>
  </si>
  <si>
    <t xml:space="preserve">Дозорный Юга щурится в кривую трубу</t>
  </si>
  <si>
    <t xml:space="preserve">04.02</t>
  </si>
  <si>
    <t xml:space="preserve">Через трубу: полосатая овца выглядит саблезубым тигром</t>
  </si>
  <si>
    <t xml:space="preserve">Искажение линзы</t>
  </si>
  <si>
    <t xml:space="preserve">AN-01, ST-01</t>
  </si>
  <si>
    <t xml:space="preserve">04.03</t>
  </si>
  <si>
    <t xml:space="preserve">Дозорный бежит по городу</t>
  </si>
  <si>
    <t xml:space="preserve">CH-02, LC-07</t>
  </si>
  <si>
    <t xml:space="preserve">Ma lord, ma lord! The North has TIGERS!</t>
  </si>
  <si>
    <t xml:space="preserve">04.04</t>
  </si>
  <si>
    <t xml:space="preserve">На бегу добавляет подробности</t>
  </si>
  <si>
    <t xml:space="preserve">Many. Angry. One with a tail.</t>
  </si>
  <si>
    <t xml:space="preserve">04.05</t>
  </si>
  <si>
    <t xml:space="preserve">Влетает во дворец, падает к ногам правителя Юга</t>
  </si>
  <si>
    <t xml:space="preserve">CH-02, CH-04, LC-05</t>
  </si>
  <si>
    <t xml:space="preserve">04.06</t>
  </si>
  <si>
    <t xml:space="preserve">Правитель Юга, пауза, реакция</t>
  </si>
  <si>
    <t xml:space="preserve">We have no tigers.</t>
  </si>
  <si>
    <t xml:space="preserve">05.01</t>
  </si>
  <si>
    <t xml:space="preserve">Правитель Юга собирает ремесленников, задача «за ночь»</t>
  </si>
  <si>
    <t xml:space="preserve">CH-04, CH-10, LC-08</t>
  </si>
  <si>
    <t xml:space="preserve">05.02</t>
  </si>
  <si>
    <t xml:space="preserve">Ночная сборка: три осла в ряд, ковёр, печные трубы-бивни</t>
  </si>
  <si>
    <t xml:space="preserve">Монтажная нарезка</t>
  </si>
  <si>
    <t xml:space="preserve">CH-10, AN-03, PR-05, LC-08</t>
  </si>
  <si>
    <t xml:space="preserve">Стук, ругань</t>
  </si>
  <si>
    <t xml:space="preserve">05.03</t>
  </si>
  <si>
    <t xml:space="preserve">Утро: «бронированный слон» шагает по набережной</t>
  </si>
  <si>
    <t xml:space="preserve">Сбоку, проводка</t>
  </si>
  <si>
    <t xml:space="preserve">PR-05, AN-03, LC-09</t>
  </si>
  <si>
    <t xml:space="preserve">Тяжёлые шаги</t>
  </si>
  <si>
    <t xml:space="preserve">05.04</t>
  </si>
  <si>
    <t xml:space="preserve">Деталь: средний осёл не в ногу, слон переступает рывками</t>
  </si>
  <si>
    <t xml:space="preserve">Деталь</t>
  </si>
  <si>
    <t xml:space="preserve">Низко, по ногам</t>
  </si>
  <si>
    <t xml:space="preserve">AN-03, PR-05</t>
  </si>
  <si>
    <t xml:space="preserve">05.05</t>
  </si>
  <si>
    <t xml:space="preserve">Правитель Юга доволен</t>
  </si>
  <si>
    <t xml:space="preserve">CH-04, LC-09</t>
  </si>
  <si>
    <t xml:space="preserve">06.01</t>
  </si>
  <si>
    <t xml:space="preserve">Дозорный Севера в трубу видит «слона»</t>
  </si>
  <si>
    <t xml:space="preserve">CH-01, PR-01, PR-05, ST-01</t>
  </si>
  <si>
    <t xml:space="preserve">06.02</t>
  </si>
  <si>
    <t xml:space="preserve">Таверна: его угощают, он рассказывает</t>
  </si>
  <si>
    <t xml:space="preserve">Медленный наезд</t>
  </si>
  <si>
    <t xml:space="preserve">CH-01, CH-11, PR-15, LC-10</t>
  </si>
  <si>
    <t xml:space="preserve">A hundred elephants. They breathe fire.</t>
  </si>
  <si>
    <t xml:space="preserve">06.03</t>
  </si>
  <si>
    <t xml:space="preserve">Слушатели в ужасе несут ещё угощения</t>
  </si>
  <si>
    <t xml:space="preserve">CH-11, PR-15, LC-10</t>
  </si>
  <si>
    <t xml:space="preserve">06.04</t>
  </si>
  <si>
    <t xml:space="preserve">Правитель Севера отдаёт приказ</t>
  </si>
  <si>
    <t xml:space="preserve">A thousand soldiers. By morning.</t>
  </si>
  <si>
    <t xml:space="preserve">06.05</t>
  </si>
  <si>
    <t xml:space="preserve">Крыши: палки с медными тазами — «золотые щиты»</t>
  </si>
  <si>
    <t xml:space="preserve">Панорама по крышам</t>
  </si>
  <si>
    <t xml:space="preserve">PR-06, LC-11</t>
  </si>
  <si>
    <t xml:space="preserve">06.06</t>
  </si>
  <si>
    <t xml:space="preserve">Кузница: сырая солома с перцем, чёрный дым, кузнецы чихают</t>
  </si>
  <si>
    <t xml:space="preserve">CH-13, EF-02, LC-12</t>
  </si>
  <si>
    <t xml:space="preserve">Чихание</t>
  </si>
  <si>
    <t xml:space="preserve">07.01</t>
  </si>
  <si>
    <t xml:space="preserve">Юг: картонные великаны на ходулях</t>
  </si>
  <si>
    <t xml:space="preserve">Динамика</t>
  </si>
  <si>
    <t xml:space="preserve">PR-08, CH-10, LC-03</t>
  </si>
  <si>
    <t xml:space="preserve">Барабаны ↑</t>
  </si>
  <si>
    <t xml:space="preserve">07.02</t>
  </si>
  <si>
    <t xml:space="preserve">Север: огромные чучела на подставках (Ньепи)</t>
  </si>
  <si>
    <t xml:space="preserve">PR-09, CH-10, LC-02</t>
  </si>
  <si>
    <t xml:space="preserve">07.03</t>
  </si>
  <si>
    <t xml:space="preserve">Юг: брёвна, раскрашенные под пушки</t>
  </si>
  <si>
    <t xml:space="preserve">PR-10, CH-10</t>
  </si>
  <si>
    <t xml:space="preserve">07.04</t>
  </si>
  <si>
    <t xml:space="preserve">Север: бочки и колёса гремят как колесницы</t>
  </si>
  <si>
    <t xml:space="preserve">PR-11, CH-10</t>
  </si>
  <si>
    <t xml:space="preserve">Грохот, барабаны ↑</t>
  </si>
  <si>
    <t xml:space="preserve">07.05</t>
  </si>
  <si>
    <t xml:space="preserve">Юг: стадо овец раскрашивают под тигров; правитель Юга кивает</t>
  </si>
  <si>
    <t xml:space="preserve">AN-02, CH-04, CH-08</t>
  </si>
  <si>
    <t xml:space="preserve">Барабаны ↑ (ввести барабанщика)</t>
  </si>
  <si>
    <t xml:space="preserve">07.06</t>
  </si>
  <si>
    <t xml:space="preserve">Север: ослы в доспехах из кастрюль; правитель Севера кивает</t>
  </si>
  <si>
    <t xml:space="preserve">AN-04, PR-12, CH-03</t>
  </si>
  <si>
    <t xml:space="preserve">08.01</t>
  </si>
  <si>
    <t xml:space="preserve">Сумерки, стена Севера: жители смотрят в трубы</t>
  </si>
  <si>
    <t xml:space="preserve">CH-11, PR-01, LC-02</t>
  </si>
  <si>
    <t xml:space="preserve">08.02</t>
  </si>
  <si>
    <t xml:space="preserve">Через трубу: чужие великаны и тигры выглядят живыми</t>
  </si>
  <si>
    <t xml:space="preserve">PR-08, AN-02, ST-01</t>
  </si>
  <si>
    <t xml:space="preserve">08.03</t>
  </si>
  <si>
    <t xml:space="preserve">Деталь: свой картонный меч гнётся в руке</t>
  </si>
  <si>
    <t xml:space="preserve">PR-13</t>
  </si>
  <si>
    <t xml:space="preserve">08.04</t>
  </si>
  <si>
    <t xml:space="preserve">Мальчишки-бегуны по переулкам</t>
  </si>
  <si>
    <t xml:space="preserve">CH-07, LC-13</t>
  </si>
  <si>
    <t xml:space="preserve">08.05</t>
  </si>
  <si>
    <t xml:space="preserve">Юг зеркально: испуганные лица на стене</t>
  </si>
  <si>
    <t xml:space="preserve">CH-11, LC-03</t>
  </si>
  <si>
    <t xml:space="preserve">Барабан реже, глуше</t>
  </si>
  <si>
    <t xml:space="preserve">08.06</t>
  </si>
  <si>
    <t xml:space="preserve">Мальчишка-барабанщик бьёт медленно</t>
  </si>
  <si>
    <t xml:space="preserve">CH-08, PR-14</t>
  </si>
  <si>
    <t xml:space="preserve">09.01</t>
  </si>
  <si>
    <t xml:space="preserve">Правитель Севера один среди бутафории: воевать нечем</t>
  </si>
  <si>
    <t xml:space="preserve">Медленный отъезд</t>
  </si>
  <si>
    <t xml:space="preserve">CH-03, PR-09, PR-12</t>
  </si>
  <si>
    <t xml:space="preserve">09.02</t>
  </si>
  <si>
    <t xml:space="preserve">Зеркально 9.1</t>
  </si>
  <si>
    <t xml:space="preserve">CH-04, PR-05, PR-08</t>
  </si>
  <si>
    <t xml:space="preserve">09.03</t>
  </si>
  <si>
    <t xml:space="preserve">Оба смотрят на туман над проливом</t>
  </si>
  <si>
    <t xml:space="preserve">Сплит / зеркало</t>
  </si>
  <si>
    <t xml:space="preserve">CH-03, CH-04, EF-01</t>
  </si>
  <si>
    <t xml:space="preserve">09.04</t>
  </si>
  <si>
    <t xml:space="preserve">Правитель Севера</t>
  </si>
  <si>
    <t xml:space="preserve">09.05</t>
  </si>
  <si>
    <t xml:space="preserve">Правитель Юга</t>
  </si>
  <si>
    <t xml:space="preserve">10.01</t>
  </si>
  <si>
    <t xml:space="preserve">Туман над проливом, тишина</t>
  </si>
  <si>
    <t xml:space="preserve">LC-01, EF-01</t>
  </si>
  <si>
    <t xml:space="preserve">Вода, тишина</t>
  </si>
  <si>
    <t xml:space="preserve">10.02</t>
  </si>
  <si>
    <t xml:space="preserve">Флотилия Севера выходит из тумана: чучела на носах</t>
  </si>
  <si>
    <t xml:space="preserve">SH-01, PR-09, PR-06, EF-01</t>
  </si>
  <si>
    <t xml:space="preserve">10.03</t>
  </si>
  <si>
    <t xml:space="preserve">Флотилия Юга: овцы-тигры, слон на палубе</t>
  </si>
  <si>
    <t xml:space="preserve">SH-02, AN-02, PR-05, EF-01</t>
  </si>
  <si>
    <t xml:space="preserve">10.04</t>
  </si>
  <si>
    <t xml:space="preserve">Старики и мальчишки прижимают тазы, чтобы не гремели</t>
  </si>
  <si>
    <t xml:space="preserve">CH-12, PR-06</t>
  </si>
  <si>
    <t xml:space="preserve">10.05</t>
  </si>
  <si>
    <t xml:space="preserve">Овца блеет, ей зажимают морду</t>
  </si>
  <si>
    <t xml:space="preserve">AN-02, CH-12</t>
  </si>
  <si>
    <t xml:space="preserve">10.06</t>
  </si>
  <si>
    <t xml:space="preserve">Дозорные на стенах щурятся в туман; течение сносит корабли</t>
  </si>
  <si>
    <t xml:space="preserve">CH-01, CH-02, PR-01, EF-01</t>
  </si>
  <si>
    <t xml:space="preserve">11.01</t>
  </si>
  <si>
    <t xml:space="preserve">Корабли глухо упираются нос в нос (симметрия как в 1.1)</t>
  </si>
  <si>
    <t xml:space="preserve">Статика сверху</t>
  </si>
  <si>
    <t xml:space="preserve">SH-01, SH-02, LC-01</t>
  </si>
  <si>
    <t xml:space="preserve">Глухой удар</t>
  </si>
  <si>
    <t xml:space="preserve">11.02</t>
  </si>
  <si>
    <t xml:space="preserve">Порыв ветра, туман уходит, встаёт солнце</t>
  </si>
  <si>
    <t xml:space="preserve">EF-01, EF-04, LC-01</t>
  </si>
  <si>
    <t xml:space="preserve">Ветер</t>
  </si>
  <si>
    <t xml:space="preserve">11.03</t>
  </si>
  <si>
    <t xml:space="preserve">У «слона» отваливается хобот, из-под ковра морда жующего осла</t>
  </si>
  <si>
    <t xml:space="preserve">PR-05, AN-03</t>
  </si>
  <si>
    <t xml:space="preserve">11.04</t>
  </si>
  <si>
    <t xml:space="preserve">Брызги смывают краску с «тигра», мокрая овца жалобно блеет</t>
  </si>
  <si>
    <t xml:space="preserve">AN-01, EF-05</t>
  </si>
  <si>
    <t xml:space="preserve">11.05</t>
  </si>
  <si>
    <t xml:space="preserve">«Золотые» воины с бабушкиными тазами и деревянными мечами</t>
  </si>
  <si>
    <t xml:space="preserve">PR-06, PR-13, CH-12</t>
  </si>
  <si>
    <t xml:space="preserve">11.06</t>
  </si>
  <si>
    <t xml:space="preserve">10 секунд тишины: лица обеих флотилий</t>
  </si>
  <si>
    <t xml:space="preserve">CH-03, CH-04, CH-11</t>
  </si>
  <si>
    <t xml:space="preserve">Тишина, барабан молчит</t>
  </si>
  <si>
    <t xml:space="preserve">11.07</t>
  </si>
  <si>
    <t xml:space="preserve">Мальчишка-барабанщик не выдерживает и смеётся</t>
  </si>
  <si>
    <t xml:space="preserve">Смех</t>
  </si>
  <si>
    <t xml:space="preserve">12.01</t>
  </si>
  <si>
    <t xml:space="preserve">Смех от лодки к лодке, щиты летят в воду</t>
  </si>
  <si>
    <t xml:space="preserve">SH-01, SH-02, PR-06</t>
  </si>
  <si>
    <t xml:space="preserve">Смех, всплески</t>
  </si>
  <si>
    <t xml:space="preserve">12.02</t>
  </si>
  <si>
    <t xml:space="preserve">Лепёшки, фрукты, кувшины; борта сдвигаются в плавучий базар</t>
  </si>
  <si>
    <t xml:space="preserve">Отъезд вверх</t>
  </si>
  <si>
    <t xml:space="preserve">SH-03, PR-15</t>
  </si>
  <si>
    <t xml:space="preserve">12.03</t>
  </si>
  <si>
    <t xml:space="preserve">Дозорные за столом жуют; один поднимает трубу к горизонту</t>
  </si>
  <si>
    <t xml:space="preserve">CH-01, CH-02, PR-01, PR-15</t>
  </si>
  <si>
    <t xml:space="preserve">12.04</t>
  </si>
  <si>
    <t xml:space="preserve">Через трубу: силуэт третьего острова</t>
  </si>
  <si>
    <t xml:space="preserve">LC-14, ST-01</t>
  </si>
  <si>
    <t xml:space="preserve">12.05</t>
  </si>
  <si>
    <t xml:space="preserve">Оба дозорных разом. Стоп-кадр</t>
  </si>
  <si>
    <t xml:space="preserve">Стоп-кадр</t>
  </si>
  <si>
    <t xml:space="preserve">CH-01, CH-02</t>
  </si>
  <si>
    <t xml:space="preserve">Тип</t>
  </si>
  <si>
    <t xml:space="preserve">Название</t>
  </si>
  <si>
    <t xml:space="preserve">Описание / внешний вид</t>
  </si>
  <si>
    <t xml:space="preserve">Состояния и версии (континьюити)</t>
  </si>
  <si>
    <t xml:space="preserve">Референс (ссылка / файл)</t>
  </si>
  <si>
    <t xml:space="preserve">CH-01</t>
  </si>
  <si>
    <t xml:space="preserve">Персонаж</t>
  </si>
  <si>
    <t xml:space="preserve">Дозорный Севера</t>
  </si>
  <si>
    <t xml:space="preserve">Полуслепой, корявый, с важным видом. Мерзкая родинка (у кого — решить).</t>
  </si>
  <si>
    <t xml:space="preserve">Дозор / таверна (сытый) / финал за столом</t>
  </si>
  <si>
    <t xml:space="preserve">1, 6, 10, 12</t>
  </si>
  <si>
    <t xml:space="preserve">Имя не выбрано. Родинка: CH-01 или CH-02?</t>
  </si>
  <si>
    <t xml:space="preserve">CH-02</t>
  </si>
  <si>
    <t xml:space="preserve">Дозорный Юга</t>
  </si>
  <si>
    <t xml:space="preserve">Полуслепой, корявый, с важным видом. Пара к CH-01, но отличим с первого взгляда.</t>
  </si>
  <si>
    <t xml:space="preserve">Дозор / бег по городу / финал за столом</t>
  </si>
  <si>
    <t xml:space="preserve">1, 4, 10, 12</t>
  </si>
  <si>
    <t xml:space="preserve">Голландский акцент — вариант озвучки</t>
  </si>
  <si>
    <t xml:space="preserve">CH-03</t>
  </si>
  <si>
    <t xml:space="preserve">Дуэт «мелкий и крупный», не копия Астерикса и Обеликса.</t>
  </si>
  <si>
    <t xml:space="preserve">Дворец / среди бутафории / флотилия</t>
  </si>
  <si>
    <t xml:space="preserve">2, 6, 7, 9, 11</t>
  </si>
  <si>
    <t xml:space="preserve">Решить: мелкий или крупный</t>
  </si>
  <si>
    <t xml:space="preserve">CH-04</t>
  </si>
  <si>
    <t xml:space="preserve">Вторая половина дуэта, контраст силуэта с CH-03.</t>
  </si>
  <si>
    <t xml:space="preserve">Дворец / двор / флотилия</t>
  </si>
  <si>
    <t xml:space="preserve">2, 4, 5, 7, 9, 11</t>
  </si>
  <si>
    <t xml:space="preserve">CH-05</t>
  </si>
  <si>
    <t xml:space="preserve">Неуклюжий ремесленник с руками в краске.</t>
  </si>
  <si>
    <t xml:space="preserve">3</t>
  </si>
  <si>
    <t xml:space="preserve">CH-06</t>
  </si>
  <si>
    <t xml:space="preserve">Глашатай</t>
  </si>
  <si>
    <t xml:space="preserve">Есть в списке персонажей сценария.</t>
  </si>
  <si>
    <t xml:space="preserve">В сценах не задействован: дать роль (напр. объявляет приказ в 6) или вырезать</t>
  </si>
  <si>
    <t xml:space="preserve">CH-07</t>
  </si>
  <si>
    <t xml:space="preserve">Массовка</t>
  </si>
  <si>
    <t xml:space="preserve">Мальчишки-бегуны</t>
  </si>
  <si>
    <t xml:space="preserve">Группа 3–4 мальчишек.</t>
  </si>
  <si>
    <t xml:space="preserve">8</t>
  </si>
  <si>
    <t xml:space="preserve">CH-08</t>
  </si>
  <si>
    <t xml:space="preserve">Мальчишка-барабанщик</t>
  </si>
  <si>
    <t xml:space="preserve">Важен для финала: его смех ломает тишину.</t>
  </si>
  <si>
    <t xml:space="preserve">Бодро / медленно / смеётся</t>
  </si>
  <si>
    <t xml:space="preserve">7, 8, 11</t>
  </si>
  <si>
    <t xml:space="preserve">Показать раньше 11, иначе его смех не сработает</t>
  </si>
  <si>
    <t xml:space="preserve">CH-09</t>
  </si>
  <si>
    <t xml:space="preserve">Слуги правителей</t>
  </si>
  <si>
    <t xml:space="preserve">2</t>
  </si>
  <si>
    <t xml:space="preserve">CH-10</t>
  </si>
  <si>
    <t xml:space="preserve">Ремесленники</t>
  </si>
  <si>
    <t xml:space="preserve">Безымянная толпа, строят бутафорию, работают в азарте.</t>
  </si>
  <si>
    <t xml:space="preserve">5, 7</t>
  </si>
  <si>
    <t xml:space="preserve">CH-11</t>
  </si>
  <si>
    <t xml:space="preserve">Жители / слушатели в таверне</t>
  </si>
  <si>
    <t xml:space="preserve">Смеются днём / боятся вечером</t>
  </si>
  <si>
    <t xml:space="preserve">6, 8, 11</t>
  </si>
  <si>
    <t xml:space="preserve">CH-12</t>
  </si>
  <si>
    <t xml:space="preserve">Старики и мальчишки на лодках</t>
  </si>
  <si>
    <t xml:space="preserve">Держат тазы, зажимают морду овце.</t>
  </si>
  <si>
    <t xml:space="preserve">10, 11</t>
  </si>
  <si>
    <t xml:space="preserve">CH-13</t>
  </si>
  <si>
    <t xml:space="preserve">Кузнецы</t>
  </si>
  <si>
    <t xml:space="preserve">6</t>
  </si>
  <si>
    <t xml:space="preserve">AN-01</t>
  </si>
  <si>
    <t xml:space="preserve">Животное</t>
  </si>
  <si>
    <t xml:space="preserve">Овца-«тигр»</t>
  </si>
  <si>
    <t xml:space="preserve">Главная овца фильма.</t>
  </si>
  <si>
    <t xml:space="preserve">1) белая 2) в саже и краске 3) в оранжево-чёрных полосах 4) мокрая, краска смыта</t>
  </si>
  <si>
    <t xml:space="preserve">3, 4, 11</t>
  </si>
  <si>
    <t xml:space="preserve">Чья овца смывается в 11: северная (сц. 3) или из южного стада (сц. 7)? См. «Сетапы»</t>
  </si>
  <si>
    <t xml:space="preserve">AN-02</t>
  </si>
  <si>
    <t xml:space="preserve">Стадо овец под тигров (Юг)</t>
  </si>
  <si>
    <t xml:space="preserve">Белые / раскрашенные / на кораблях</t>
  </si>
  <si>
    <t xml:space="preserve">7, 8, 10</t>
  </si>
  <si>
    <t xml:space="preserve">AN-03</t>
  </si>
  <si>
    <t xml:space="preserve">Три осла «слона» (Юг)</t>
  </si>
  <si>
    <t xml:space="preserve">Средний идёт не в ногу.</t>
  </si>
  <si>
    <t xml:space="preserve">Под ковром / морда наружу, жуёт</t>
  </si>
  <si>
    <t xml:space="preserve">5, 11</t>
  </si>
  <si>
    <t xml:space="preserve">AN-04</t>
  </si>
  <si>
    <t xml:space="preserve">Ослы в доспехах из кастрюль (Север)</t>
  </si>
  <si>
    <t xml:space="preserve">7</t>
  </si>
  <si>
    <t xml:space="preserve">PR-01</t>
  </si>
  <si>
    <t xml:space="preserve">Реквизит</t>
  </si>
  <si>
    <t xml:space="preserve">Кривая медная подзорная труба</t>
  </si>
  <si>
    <t xml:space="preserve">Огромная, медная, главный артефакт фильма.</t>
  </si>
  <si>
    <t xml:space="preserve">Одинаковые у обоих дозорных или разные — решить</t>
  </si>
  <si>
    <t xml:space="preserve">1, 4, 6, 8, 10, 12</t>
  </si>
  <si>
    <t xml:space="preserve">Ключевой ассет: делать референс первым</t>
  </si>
  <si>
    <t xml:space="preserve">PR-02</t>
  </si>
  <si>
    <t xml:space="preserve">Трубы правителей</t>
  </si>
  <si>
    <t xml:space="preserve">Богаче дозорных, такие же кривые.</t>
  </si>
  <si>
    <t xml:space="preserve">PR-03</t>
  </si>
  <si>
    <t xml:space="preserve">Чан с оранжевой водной краской</t>
  </si>
  <si>
    <t xml:space="preserve">Полный / опрокинут</t>
  </si>
  <si>
    <t xml:space="preserve">PR-04</t>
  </si>
  <si>
    <t xml:space="preserve">Золотая ткань</t>
  </si>
  <si>
    <t xml:space="preserve">Прикрывает дыры в стенах.</t>
  </si>
  <si>
    <t xml:space="preserve">PR-05</t>
  </si>
  <si>
    <t xml:space="preserve">Бутафория</t>
  </si>
  <si>
    <t xml:space="preserve">«Бронированный слон»</t>
  </si>
  <si>
    <t xml:space="preserve">Три осла, огромный ковёр, печные трубы как бивни, хобот из печной трубы.</t>
  </si>
  <si>
    <t xml:space="preserve">Сборка / собран, на ходу / на палубе / хобот отвалился</t>
  </si>
  <si>
    <t xml:space="preserve">5, 6, 9, 10, 11</t>
  </si>
  <si>
    <t xml:space="preserve">Самый сложный ассет: тест Seedance в первую очередь</t>
  </si>
  <si>
    <t xml:space="preserve">PR-06</t>
  </si>
  <si>
    <t xml:space="preserve">Медные тазы — «золотые щиты»</t>
  </si>
  <si>
    <t xml:space="preserve">Бабушкины тазы на палках.</t>
  </si>
  <si>
    <t xml:space="preserve">На крышах / в руках на лодках / летят в воду</t>
  </si>
  <si>
    <t xml:space="preserve">6, 10, 11, 12</t>
  </si>
  <si>
    <t xml:space="preserve">PR-08</t>
  </si>
  <si>
    <t xml:space="preserve">Картонные великаны на ходулях (Юг)</t>
  </si>
  <si>
    <t xml:space="preserve">Вблизи картон / через трубу живые</t>
  </si>
  <si>
    <t xml:space="preserve">7, 8, 9</t>
  </si>
  <si>
    <t xml:space="preserve">PR-09</t>
  </si>
  <si>
    <t xml:space="preserve">Чучела на подставках (Север)</t>
  </si>
  <si>
    <t xml:space="preserve">Образец: балийский Ньепи (огох-огох).</t>
  </si>
  <si>
    <t xml:space="preserve">На берегу / на носах кораблей</t>
  </si>
  <si>
    <t xml:space="preserve">7, 9, 10</t>
  </si>
  <si>
    <t xml:space="preserve">PR-10</t>
  </si>
  <si>
    <t xml:space="preserve">Брёвна-пушки (Юг)</t>
  </si>
  <si>
    <t xml:space="preserve">Брёвна, раскрашенные под пушки.</t>
  </si>
  <si>
    <t xml:space="preserve">PR-11</t>
  </si>
  <si>
    <t xml:space="preserve">Бочки и колёса-«колесницы» (Север)</t>
  </si>
  <si>
    <t xml:space="preserve">Гремят как колесницы.</t>
  </si>
  <si>
    <t xml:space="preserve">PR-12</t>
  </si>
  <si>
    <t xml:space="preserve">Доспехи из кастрюль</t>
  </si>
  <si>
    <t xml:space="preserve">На ослах Севера.</t>
  </si>
  <si>
    <t xml:space="preserve">7, 9</t>
  </si>
  <si>
    <t xml:space="preserve">Картонные и деревянные мечи</t>
  </si>
  <si>
    <t xml:space="preserve">Целый / гнётся</t>
  </si>
  <si>
    <t xml:space="preserve">8, 11</t>
  </si>
  <si>
    <t xml:space="preserve">PR-14</t>
  </si>
  <si>
    <t xml:space="preserve">Барабан</t>
  </si>
  <si>
    <t xml:space="preserve">PR-15</t>
  </si>
  <si>
    <t xml:space="preserve">Еда: угощения, лепёшки, фрукты, кувшины</t>
  </si>
  <si>
    <t xml:space="preserve">Таверна / финальный стол</t>
  </si>
  <si>
    <t xml:space="preserve">6, 12</t>
  </si>
  <si>
    <t xml:space="preserve">PR-16</t>
  </si>
  <si>
    <t xml:space="preserve">Сохнущее бельё, заплатки</t>
  </si>
  <si>
    <t xml:space="preserve">Сет-дрессинг бедности.</t>
  </si>
  <si>
    <t xml:space="preserve">1</t>
  </si>
  <si>
    <t xml:space="preserve">LC-01</t>
  </si>
  <si>
    <t xml:space="preserve">Пролив между островами</t>
  </si>
  <si>
    <t xml:space="preserve">День / туман ночью / рассвет</t>
  </si>
  <si>
    <t xml:space="preserve">1, 10, 11, 12</t>
  </si>
  <si>
    <t xml:space="preserve">LC-02</t>
  </si>
  <si>
    <t xml:space="preserve">Северный остров, стена-крепость</t>
  </si>
  <si>
    <t xml:space="preserve">Через трубу богатый / без трубы бедный</t>
  </si>
  <si>
    <t xml:space="preserve">1, 3, 7, 8</t>
  </si>
  <si>
    <t xml:space="preserve">Палитра Севера — в ST-01</t>
  </si>
  <si>
    <t xml:space="preserve">LC-03</t>
  </si>
  <si>
    <t xml:space="preserve">Южный остров, стена-крепость</t>
  </si>
  <si>
    <t xml:space="preserve">1, 4, 7, 8</t>
  </si>
  <si>
    <t xml:space="preserve">Палитра Юга — в ST-01</t>
  </si>
  <si>
    <t xml:space="preserve">LC-04</t>
  </si>
  <si>
    <t xml:space="preserve">Дворец Севера</t>
  </si>
  <si>
    <t xml:space="preserve">2, 6, 9</t>
  </si>
  <si>
    <t xml:space="preserve">LC-05</t>
  </si>
  <si>
    <t xml:space="preserve">Дворец Юга (медный купол)</t>
  </si>
  <si>
    <t xml:space="preserve">2, 4, 9</t>
  </si>
  <si>
    <t xml:space="preserve">LC-06</t>
  </si>
  <si>
    <t xml:space="preserve">У стены.</t>
  </si>
  <si>
    <t xml:space="preserve">LC-07</t>
  </si>
  <si>
    <t xml:space="preserve">Улицы Юга</t>
  </si>
  <si>
    <t xml:space="preserve">Маршрут бегущего дозорного.</t>
  </si>
  <si>
    <t xml:space="preserve">4</t>
  </si>
  <si>
    <t xml:space="preserve">LC-08</t>
  </si>
  <si>
    <t xml:space="preserve">Двор перед дворцом Юга</t>
  </si>
  <si>
    <t xml:space="preserve">День / ночная сборка</t>
  </si>
  <si>
    <t xml:space="preserve">5</t>
  </si>
  <si>
    <t xml:space="preserve">LC-09</t>
  </si>
  <si>
    <t xml:space="preserve">Набережная Юга</t>
  </si>
  <si>
    <t xml:space="preserve">LC-10</t>
  </si>
  <si>
    <t xml:space="preserve">Таверна Севера</t>
  </si>
  <si>
    <t xml:space="preserve">При хронометраже &gt;6 мин: + таверна Юга</t>
  </si>
  <si>
    <t xml:space="preserve">LC-11</t>
  </si>
  <si>
    <t xml:space="preserve">Крыши Севера</t>
  </si>
  <si>
    <t xml:space="preserve">LC-12</t>
  </si>
  <si>
    <t xml:space="preserve">Кузница Севера</t>
  </si>
  <si>
    <t xml:space="preserve">LC-13</t>
  </si>
  <si>
    <t xml:space="preserve">Переулки (оба города)</t>
  </si>
  <si>
    <t xml:space="preserve">LC-14</t>
  </si>
  <si>
    <t xml:space="preserve">Третий остров (силуэт)</t>
  </si>
  <si>
    <t xml:space="preserve">Крошечный силуэт на горизонте.</t>
  </si>
  <si>
    <t xml:space="preserve">Едва заметен в 1 / явный в трубе в 12</t>
  </si>
  <si>
    <t xml:space="preserve">1, 12</t>
  </si>
  <si>
    <t xml:space="preserve">Одинаковый силуэт в обоих шотах</t>
  </si>
  <si>
    <t xml:space="preserve">SH-01</t>
  </si>
  <si>
    <t xml:space="preserve">Корабль</t>
  </si>
  <si>
    <t xml:space="preserve">Флотилия Севера</t>
  </si>
  <si>
    <t xml:space="preserve">Чучела на носах.</t>
  </si>
  <si>
    <t xml:space="preserve">В тумане / нос в нос / в базаре</t>
  </si>
  <si>
    <t xml:space="preserve">10, 11, 12</t>
  </si>
  <si>
    <t xml:space="preserve">SH-02</t>
  </si>
  <si>
    <t xml:space="preserve">Флотилия Юга</t>
  </si>
  <si>
    <t xml:space="preserve">Слон на палубе, овцы-тигры.</t>
  </si>
  <si>
    <t xml:space="preserve">SH-03</t>
  </si>
  <si>
    <t xml:space="preserve">Плавучий базар из сотен лодок</t>
  </si>
  <si>
    <t xml:space="preserve">12</t>
  </si>
  <si>
    <t xml:space="preserve">EF-01</t>
  </si>
  <si>
    <t xml:space="preserve">Эффект / среда</t>
  </si>
  <si>
    <t xml:space="preserve">Туман над проливом</t>
  </si>
  <si>
    <t xml:space="preserve">Густой / уходит с порывом ветра</t>
  </si>
  <si>
    <t xml:space="preserve">9, 10, 11</t>
  </si>
  <si>
    <t xml:space="preserve">EF-02</t>
  </si>
  <si>
    <t xml:space="preserve">Чёрный дым (солома с перцем)</t>
  </si>
  <si>
    <t xml:space="preserve">EF-04</t>
  </si>
  <si>
    <t xml:space="preserve">Рассвет / солнце</t>
  </si>
  <si>
    <t xml:space="preserve">3, 11</t>
  </si>
  <si>
    <t xml:space="preserve">EF-05</t>
  </si>
  <si>
    <t xml:space="preserve">Брызги от удара бортов</t>
  </si>
  <si>
    <t xml:space="preserve">11</t>
  </si>
  <si>
    <t xml:space="preserve">ST-01</t>
  </si>
  <si>
    <t xml:space="preserve">Стиль / лук</t>
  </si>
  <si>
    <t xml:space="preserve">Лук «через трубу» vs «без трубы»</t>
  </si>
  <si>
    <t xml:space="preserve">Через трубу: золото, богато, страшно, искажение линзы. Без трубы: бедно и смешно.</t>
  </si>
  <si>
    <t xml:space="preserve">Палитра Севера / палитра Юга</t>
  </si>
  <si>
    <t xml:space="preserve">1, 4, 6, 8, 12</t>
  </si>
  <si>
    <t xml:space="preserve">Утвердить до генерации: от этого зависят все POV</t>
  </si>
  <si>
    <t xml:space="preserve">Мотив / сетап</t>
  </si>
  <si>
    <t xml:space="preserve">Сетап (шот)</t>
  </si>
  <si>
    <t xml:space="preserve">Пэйофф (шот)</t>
  </si>
  <si>
    <t xml:space="preserve">Что должен считать зритель</t>
  </si>
  <si>
    <t xml:space="preserve">Риск / открытый вопрос</t>
  </si>
  <si>
    <t xml:space="preserve">Кривая труба врёт</t>
  </si>
  <si>
    <t xml:space="preserve">01.04, 01.05</t>
  </si>
  <si>
    <t xml:space="preserve">11.03–11.05, 12.04</t>
  </si>
  <si>
    <t xml:space="preserve">Через трубу богато и страшно, вблизи бедно и смешно</t>
  </si>
  <si>
    <t xml:space="preserve">POV-кадры должны быть узнаваемы одним луком (ST-01)</t>
  </si>
  <si>
    <t xml:space="preserve">Третий остров</t>
  </si>
  <si>
    <t xml:space="preserve">Силуэт был с самого начала, его никто не заметил</t>
  </si>
  <si>
    <t xml:space="preserve">Заметен при пересмотре, но не бросается в глаза в первый раз</t>
  </si>
  <si>
    <t xml:space="preserve">Водная краска на овце</t>
  </si>
  <si>
    <t xml:space="preserve">Краска смывается, потому что она водная</t>
  </si>
  <si>
    <t xml:space="preserve">Показать в 3.03, что краска жидкая и капает. Чья овца смывается в 11: северная из сц. 3 или из южного стада?</t>
  </si>
  <si>
    <t xml:space="preserve">«Ma lord, ma lord!»</t>
  </si>
  <si>
    <t xml:space="preserve">Реплика-рефрен, в финале звучит вопросом</t>
  </si>
  <si>
    <t xml:space="preserve">Одинаковая интонация и голос дозорного</t>
  </si>
  <si>
    <t xml:space="preserve">Накидывание подробностей</t>
  </si>
  <si>
    <t xml:space="preserve">С каждым пересказом чудище страшнее</t>
  </si>
  <si>
    <t xml:space="preserve">В сценарии только 2 пересказа, а мотив обещает рост «с каждой сценой». Добавить третий (напр. бегуны в 8.04)?</t>
  </si>
  <si>
    <t xml:space="preserve">Барабан нарастает</t>
  </si>
  <si>
    <t xml:space="preserve">07.01–07.06</t>
  </si>
  <si>
    <t xml:space="preserve">Тишина бьёт сильнее любого звука</t>
  </si>
  <si>
    <t xml:space="preserve">Барабанщик впервые в кадре только в 7.05: показать его раньше</t>
  </si>
  <si>
    <t xml:space="preserve">Хобот из печной трубы</t>
  </si>
  <si>
    <t xml:space="preserve">Слон — это ослы и печные трубы</t>
  </si>
  <si>
    <t xml:space="preserve">Хобот должен быть заметен как отдельная деталь в сборке</t>
  </si>
  <si>
    <t xml:space="preserve">Средний осёл не в ногу</t>
  </si>
  <si>
    <t xml:space="preserve">Жующая морда — тот самый осёл</t>
  </si>
  <si>
    <t xml:space="preserve">Один и тот же осёл (AN-03) в обоих шотах</t>
  </si>
  <si>
    <t xml:space="preserve">Медные тазы = золотые щиты</t>
  </si>
  <si>
    <t xml:space="preserve">10.04, 11.05, 12.01</t>
  </si>
  <si>
    <t xml:space="preserve">«Золотое войско» — это бабушкины тазы</t>
  </si>
  <si>
    <t xml:space="preserve">Туман</t>
  </si>
  <si>
    <t xml:space="preserve">10.01–11.02</t>
  </si>
  <si>
    <t xml:space="preserve">План правителей сработал на обоих, и поэтому провалился</t>
  </si>
  <si>
    <t xml:space="preserve">«Мы бедные, а они сияют»</t>
  </si>
  <si>
    <t xml:space="preserve">02.05, 02.06</t>
  </si>
  <si>
    <t xml:space="preserve">Оба наконец видят, что бедны одинаково</t>
  </si>
  <si>
    <t xml:space="preserve">Зеркальная симметрия</t>
  </si>
  <si>
    <t xml:space="preserve">Нос в нос — финальное зеркало</t>
  </si>
  <si>
    <t xml:space="preserve">Повторить композицию 1.1</t>
  </si>
  <si>
    <t xml:space="preserve">Дозорных угощают</t>
  </si>
  <si>
    <t xml:space="preserve">06.02, 06.03</t>
  </si>
  <si>
    <t xml:space="preserve">Дозорные снова жуют: всё по кругу</t>
  </si>
  <si>
    <t xml:space="preserve">Шот</t>
  </si>
  <si>
    <t xml:space="preserve">Кто / источник</t>
  </si>
  <si>
    <t xml:space="preserve">Текст EN (= субтитр)</t>
  </si>
  <si>
    <t xml:space="preserve">Перевод RU</t>
  </si>
  <si>
    <t xml:space="preserve">Озвучка / права</t>
  </si>
  <si>
    <t xml:space="preserve">SND-01</t>
  </si>
  <si>
    <t xml:space="preserve">Атмосфера</t>
  </si>
  <si>
    <t xml:space="preserve">Ветер, чайки, скрип труб</t>
  </si>
  <si>
    <t xml:space="preserve">SND-02</t>
  </si>
  <si>
    <t xml:space="preserve">Реплика</t>
  </si>
  <si>
    <t xml:space="preserve">Мы-то бедные. А они? Смотри, как сияют!</t>
  </si>
  <si>
    <t xml:space="preserve">SND-03</t>
  </si>
  <si>
    <t xml:space="preserve">SND-04</t>
  </si>
  <si>
    <t xml:space="preserve">SFX</t>
  </si>
  <si>
    <t xml:space="preserve">SND-05</t>
  </si>
  <si>
    <t xml:space="preserve">Милорд, милорд! У Севера ТИГРЫ!</t>
  </si>
  <si>
    <t xml:space="preserve">SND-06</t>
  </si>
  <si>
    <t xml:space="preserve">Много. Злые. Один с хвостом.</t>
  </si>
  <si>
    <t xml:space="preserve">SND-07</t>
  </si>
  <si>
    <t xml:space="preserve">У нас нет тигров.</t>
  </si>
  <si>
    <t xml:space="preserve">SND-08</t>
  </si>
  <si>
    <t xml:space="preserve">Слон из ослов</t>
  </si>
  <si>
    <t xml:space="preserve">Тяжёлые неровные шаги</t>
  </si>
  <si>
    <t xml:space="preserve">SND-09</t>
  </si>
  <si>
    <t xml:space="preserve">Ужас. Но недорого.</t>
  </si>
  <si>
    <t xml:space="preserve">SND-10</t>
  </si>
  <si>
    <t xml:space="preserve">Сто слонов. Дышат огнём.</t>
  </si>
  <si>
    <t xml:space="preserve">SND-11</t>
  </si>
  <si>
    <t xml:space="preserve">Тысячу солдат. К утру.</t>
  </si>
  <si>
    <t xml:space="preserve">SND-12</t>
  </si>
  <si>
    <t xml:space="preserve">Чихание от перечного дыма</t>
  </si>
  <si>
    <t xml:space="preserve">SND-13</t>
  </si>
  <si>
    <t xml:space="preserve">Музыка</t>
  </si>
  <si>
    <t xml:space="preserve">Барабанная партия</t>
  </si>
  <si>
    <t xml:space="preserve">Нарастает через сц. 7–11</t>
  </si>
  <si>
    <t xml:space="preserve">SND-14</t>
  </si>
  <si>
    <t xml:space="preserve">Штурм на рассвете!</t>
  </si>
  <si>
    <t xml:space="preserve">SND-15</t>
  </si>
  <si>
    <t xml:space="preserve">В тумане осёл как дракон.</t>
  </si>
  <si>
    <t xml:space="preserve">SND-16</t>
  </si>
  <si>
    <t xml:space="preserve">SND-17</t>
  </si>
  <si>
    <t xml:space="preserve">Блеяние, зажатое рукой</t>
  </si>
  <si>
    <t xml:space="preserve">SND-18</t>
  </si>
  <si>
    <t xml:space="preserve">Корабли</t>
  </si>
  <si>
    <t xml:space="preserve">Глухой удар бортов</t>
  </si>
  <si>
    <t xml:space="preserve">SND-19</t>
  </si>
  <si>
    <t xml:space="preserve">Тишина</t>
  </si>
  <si>
    <t xml:space="preserve">Все</t>
  </si>
  <si>
    <t xml:space="preserve">10 секунд, барабан молчит</t>
  </si>
  <si>
    <t xml:space="preserve">SND-20</t>
  </si>
  <si>
    <t xml:space="preserve">Барабанщик</t>
  </si>
  <si>
    <t xml:space="preserve">Смех, по цепочке</t>
  </si>
  <si>
    <t xml:space="preserve">SND-21</t>
  </si>
  <si>
    <t xml:space="preserve">Лодки</t>
  </si>
  <si>
    <t xml:space="preserve">Смех, всплески щитов</t>
  </si>
  <si>
    <t xml:space="preserve">SND-22</t>
  </si>
  <si>
    <t xml:space="preserve">Милорд?!</t>
  </si>
  <si>
    <t xml:space="preserve">SND-23</t>
  </si>
  <si>
    <t xml:space="preserve">Финальные титры</t>
  </si>
  <si>
    <t xml:space="preserve">Тема на титры</t>
  </si>
  <si>
    <t xml:space="preserve">Блок</t>
  </si>
  <si>
    <t xml:space="preserve">Задача</t>
  </si>
  <si>
    <t xml:space="preserve">Дней осталось</t>
  </si>
  <si>
    <t xml:space="preserve">T-01</t>
  </si>
  <si>
    <t xml:space="preserve">Конкурс</t>
  </si>
  <si>
    <t xml:space="preserve">Сценарная разбивка v2 (12 сцен, 6 мин)</t>
  </si>
  <si>
    <t xml:space="preserve">Пример заполненной строки</t>
  </si>
  <si>
    <t xml:space="preserve">T-02</t>
  </si>
  <si>
    <t xml:space="preserve">Выбрать тему из пяти обязательных</t>
  </si>
  <si>
    <t xml:space="preserve">Напрашивается «Truth, Fake News &amp; Misinformation»: фильм целиком про искажённую картинку и слухи</t>
  </si>
  <si>
    <t xml:space="preserve">T-03</t>
  </si>
  <si>
    <t xml:space="preserve">Перечитать официальные правила на 1billionsummit.com</t>
  </si>
  <si>
    <t xml:space="preserve">5–7 мин, 16:9 1080p, MOV/MP4, ≥70% Seedance, англ. субтитры</t>
  </si>
  <si>
    <t xml:space="preserve">T-04</t>
  </si>
  <si>
    <t xml:space="preserve">Скачать интро-карточку организатора</t>
  </si>
  <si>
    <t xml:space="preserve">Ставится перед фильмом</t>
  </si>
  <si>
    <t xml:space="preserve">T-05</t>
  </si>
  <si>
    <t xml:space="preserve">Препродакшн</t>
  </si>
  <si>
    <t xml:space="preserve">Имена персонажей вместо ролей</t>
  </si>
  <si>
    <t xml:space="preserve">T-06</t>
  </si>
  <si>
    <t xml:space="preserve">Решить, кто из правителей мелкий, кто крупный</t>
  </si>
  <si>
    <t xml:space="preserve">T-07</t>
  </si>
  <si>
    <t xml:space="preserve">Решить, у какого дозорного родинка</t>
  </si>
  <si>
    <t xml:space="preserve">Низкий</t>
  </si>
  <si>
    <t xml:space="preserve">T-08</t>
  </si>
  <si>
    <t xml:space="preserve">Закрыть открытые вопросы с листа «Сетапы»</t>
  </si>
  <si>
    <t xml:space="preserve">Чья овца смывается, третий пересказ, ранний показ барабанщика, глашатай</t>
  </si>
  <si>
    <t xml:space="preserve">T-09</t>
  </si>
  <si>
    <t xml:space="preserve">Лук-бук: палитры Севера и Юга, лук «через трубу» (ST-01)</t>
  </si>
  <si>
    <t xml:space="preserve">T-10</t>
  </si>
  <si>
    <t xml:space="preserve">Character sheets: 2 дозорных, 2 правителя</t>
  </si>
  <si>
    <t xml:space="preserve">Консистентность героев — главный риск AI-фильма</t>
  </si>
  <si>
    <t xml:space="preserve">T-11</t>
  </si>
  <si>
    <t xml:space="preserve">Референсы ключевых ассетов: труба, овца (4 состояния), слон</t>
  </si>
  <si>
    <t xml:space="preserve">T-12</t>
  </si>
  <si>
    <t xml:space="preserve">Блокауты сложных шотов: 05.03, 10.02, 10.03, 11.01, 11.03, 11.04</t>
  </si>
  <si>
    <t xml:space="preserve">T-13</t>
  </si>
  <si>
    <t xml:space="preserve">Тест Seedance на три самых сложных шота</t>
  </si>
  <si>
    <t xml:space="preserve">Слон в движении, смыв краски, флотилии в тумане</t>
  </si>
  <si>
    <t xml:space="preserve">T-14</t>
  </si>
  <si>
    <t xml:space="preserve">Сцены 1–4</t>
  </si>
  <si>
    <t xml:space="preserve">T-15</t>
  </si>
  <si>
    <t xml:space="preserve">Сцены 5–8</t>
  </si>
  <si>
    <t xml:space="preserve">T-16</t>
  </si>
  <si>
    <t xml:space="preserve">Сцены 9–12</t>
  </si>
  <si>
    <t xml:space="preserve">T-17</t>
  </si>
  <si>
    <t xml:space="preserve">Озвучка реплик (голландский акцент — проверить права на голос)</t>
  </si>
  <si>
    <t xml:space="preserve">T-18</t>
  </si>
  <si>
    <t xml:space="preserve">Монтаж</t>
  </si>
  <si>
    <t xml:space="preserve">Черновой монтаж (assembly)</t>
  </si>
  <si>
    <t xml:space="preserve">T-19</t>
  </si>
  <si>
    <t xml:space="preserve">Барабанная партия и музыка: свои или с лицензией</t>
  </si>
  <si>
    <t xml:space="preserve">T-20</t>
  </si>
  <si>
    <t xml:space="preserve">SFX и атмосферы (лист «Звук»)</t>
  </si>
  <si>
    <t xml:space="preserve">T-21</t>
  </si>
  <si>
    <t xml:space="preserve">Цветокоррекция и грейд</t>
  </si>
  <si>
    <t xml:space="preserve">T-22</t>
  </si>
  <si>
    <t xml:space="preserve">Английские субтитры</t>
  </si>
  <si>
    <t xml:space="preserve">Обязательны, ссылка должна играть фильм с ними</t>
  </si>
  <si>
    <t xml:space="preserve">T-23</t>
  </si>
  <si>
    <t xml:space="preserve">Проверить хронометраж: строго 5:00–7:00 с запасом</t>
  </si>
  <si>
    <t xml:space="preserve">Неясно, входит ли интро-карточка — держим запас</t>
  </si>
  <si>
    <t xml:space="preserve">T-24</t>
  </si>
  <si>
    <t xml:space="preserve">Проверить долю Seedance ≥70% по листу «Шоты»</t>
  </si>
  <si>
    <t xml:space="preserve">Цифра на Дашборде</t>
  </si>
  <si>
    <t xml:space="preserve">T-25</t>
  </si>
  <si>
    <t xml:space="preserve">Сдача</t>
  </si>
  <si>
    <t xml:space="preserve">Экспорт 16:9 1080p MOV/MP4 с интро-карточкой</t>
  </si>
  <si>
    <t xml:space="preserve">T-26</t>
  </si>
  <si>
    <t xml:space="preserve">Залить как приватную / unlisted ссылку и проверить воспроизведение</t>
  </si>
  <si>
    <t xml:space="preserve">Не публичную</t>
  </si>
  <si>
    <t xml:space="preserve">T-27</t>
  </si>
  <si>
    <t xml:space="preserve">Заполнить форму: автор, фильм, как сделан и какими AI-инструментами, проверка</t>
  </si>
  <si>
    <t xml:space="preserve">Описание пайплайна берём из листа «Шоты»</t>
  </si>
  <si>
    <t xml:space="preserve">T-28</t>
  </si>
  <si>
    <t xml:space="preserve">ПОДАТЬ ЗАЯВКУ</t>
  </si>
  <si>
    <t xml:space="preserve">Официальный дедлайн 20.11, по Дубаю (UTC+4) = 22:59 по Москве</t>
  </si>
  <si>
    <t xml:space="preserve">T-29</t>
  </si>
  <si>
    <t xml:space="preserve">Нарезать 4-минутную версию для других конкурсов (опционально)</t>
  </si>
  <si>
    <t xml:space="preserve">Схема склеек — колонка «Если сокращать» на листе «Сцены»</t>
  </si>
  <si>
    <t xml:space="preserve">Тип ассета</t>
  </si>
  <si>
    <t xml:space="preserve">Этап шота</t>
  </si>
  <si>
    <t xml:space="preserve">Блок задач</t>
  </si>
  <si>
    <t xml:space="preserve">Тип звука</t>
  </si>
  <si>
    <t xml:space="preserve">Другая AI-видео</t>
  </si>
  <si>
    <t xml:space="preserve">AI-картинка (стоп-кадр)</t>
  </si>
  <si>
    <t xml:space="preserve">Blender / 3D</t>
  </si>
  <si>
    <t xml:space="preserve">Графика / титры</t>
  </si>
  <si>
    <t xml:space="preserve">Live action</t>
  </si>
  <si>
    <t xml:space="preserve">Чтобы добавить вариант в список, впишите его в конец колонки и расширьте диапазон в Данные → Проверка данных.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</si>
</sst>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0"/>
    <numFmt numFmtId="167" formatCode="[m]:ss"/>
    <numFmt numFmtId="168" formatCode="0%"/>
    <numFmt numFmtId="169" formatCode="General"/>
    <numFmt numFmtId="170" formatCode="@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strike val="true"/>
      <sz val="10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404040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8CBAD"/>
        <bgColor rgb="FFFFC7CE"/>
      </patternFill>
    </fill>
    <fill>
      <patternFill patternType="solid">
        <fgColor rgb="FFC6EFCE"/>
        <bgColor rgb="FFDDEBF7"/>
      </patternFill>
    </fill>
    <fill>
      <patternFill patternType="solid">
        <fgColor rgb="FFD9D9D9"/>
        <bgColor rgb="FFDDEBF7"/>
      </patternFill>
    </fill>
    <fill>
      <patternFill patternType="solid">
        <fgColor rgb="FF5B6B8C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8C"/>
          <bgColor rgb="FF000000"/>
        </patternFill>
      </fill>
    </dxf>
    <dxf>
      <font>
        <strike val="1"/>
        <color rgb="FF808080"/>
      </font>
      <fill>
        <patternFill>
          <bgColor rgb="FFD9D9D9"/>
        </patternFill>
      </fill>
    </dxf>
    <dxf>
      <font>
        <strike val="0"/>
        <color rgb="FF006100"/>
      </font>
      <fill>
        <patternFill>
          <bgColor rgb="FFC6EFCE"/>
        </patternFill>
      </fill>
    </dxf>
    <dxf>
      <font>
        <strike val="0"/>
        <color rgb="FF9C0006"/>
      </font>
      <fill>
        <patternFill>
          <bgColor rgb="FFF8CBAD"/>
        </patternFill>
      </fill>
    </dxf>
    <dxf>
      <font>
        <strike val="0"/>
        <color rgb="FF1F4E79"/>
      </font>
      <fill>
        <patternFill>
          <bgColor rgb="FFDDEBF7"/>
        </patternFill>
      </fill>
    </dxf>
    <dxf>
      <font>
        <strike val="0"/>
        <color rgb="FF7F6000"/>
      </font>
      <fill>
        <patternFill>
          <bgColor rgb="FFFFF2CC"/>
        </patternFill>
      </fill>
    </dxf>
    <dxf>
      <font>
        <strike val="0"/>
        <color rgb="FF595959"/>
      </font>
      <fill>
        <patternFill>
          <bgColor rgb="FFF2F2F2"/>
        </patternFill>
      </fill>
    </dxf>
    <dxf>
      <font>
        <b val="1"/>
        <color rgb="FFC00000"/>
      </font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000000"/>
      </font>
      <fill>
        <patternFill>
          <bgColor rgb="FFFFC000"/>
        </patternFill>
      </fill>
    </dxf>
    <dxf>
      <font>
        <b val="1"/>
      </font>
      <fill>
        <patternFill>
          <bgColor rgb="FFFF7C80"/>
        </patternFill>
      </fill>
    </dxf>
    <dxf>
      <font>
        <b val="1"/>
      </font>
      <fill>
        <patternFill>
          <bgColor rgb="FFFFC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4F81BD"/>
      <rgbColor rgb="FFBFBFBF"/>
      <rgbColor rgb="FF808080"/>
      <rgbColor rgb="FF7F7F7F"/>
      <rgbColor rgb="FF7030A0"/>
      <rgbColor rgb="FFFFF2CC"/>
      <rgbColor rgb="FFDDEBF7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FF99"/>
      <rgbColor rgb="FF99CCFF"/>
      <rgbColor rgb="FFFFC7CE"/>
      <rgbColor rgb="FFCC99FF"/>
      <rgbColor rgb="FFF8CBAD"/>
      <rgbColor rgb="FF2E75B6"/>
      <rgbColor rgb="FF33CCCC"/>
      <rgbColor rgb="FF70AD47"/>
      <rgbColor rgb="FFFFC000"/>
      <rgbColor rgb="FFBF8F00"/>
      <rgbColor rgb="FFED7D31"/>
      <rgbColor rgb="FF5B6B8C"/>
      <rgbColor rgb="FF878787"/>
      <rgbColor rgb="FF1F2A44"/>
      <rgbColor rgb="FF4A7EBB"/>
      <rgbColor rgb="FF003300"/>
      <rgbColor rgb="FF333300"/>
      <rgbColor rgb="FF993300"/>
      <rgbColor rgb="FF595959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Кривая барабана по сценам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Сцены!K1</c:f>
              <c:strCache>
                <c:ptCount val="1"/>
                <c:pt idx="0">
                  <c:v>Барабан 0–5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Сцены!$A$2:$A$13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Сцены!$K$2:$K$13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986518"/>
        <c:axId val="31775915"/>
      </c:lineChart>
      <c:catAx>
        <c:axId val="159865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Сцена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75915"/>
        <c:crosses val="autoZero"/>
        <c:auto val="1"/>
        <c:lblAlgn val="ctr"/>
        <c:lblOffset val="100"/>
        <c:noMultiLvlLbl val="0"/>
      </c:catAx>
      <c:valAx>
        <c:axId val="31775915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Барабан 0–5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865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готовности по листам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Дашборд!I19</c:f>
              <c:strCache>
                <c:ptCount val="1"/>
                <c:pt idx="0">
                  <c:v>% готово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Дашборд!$A$20:$A$25</c:f>
              <c:strCache>
                <c:ptCount val="6"/>
                <c:pt idx="0">
                  <c:v>Сцены</c:v>
                </c:pt>
                <c:pt idx="1">
                  <c:v>Шоты</c:v>
                </c:pt>
                <c:pt idx="2">
                  <c:v>Ассеты</c:v>
                </c:pt>
                <c:pt idx="3">
                  <c:v>Сетапы</c:v>
                </c:pt>
                <c:pt idx="4">
                  <c:v>Звук</c:v>
                </c:pt>
                <c:pt idx="5">
                  <c:v>Задачи</c:v>
                </c:pt>
              </c:strCache>
            </c:strRef>
          </c:cat>
          <c:val>
            <c:numRef>
              <c:f>Дашборд!$I$20:$I$25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0.0344827586206897</c:v>
                </c:pt>
              </c:numCache>
            </c:numRef>
          </c:val>
        </c:ser>
        <c:gapWidth val="150"/>
        <c:overlap val="0"/>
        <c:axId val="57302913"/>
        <c:axId val="64795470"/>
      </c:barChart>
      <c:catAx>
        <c:axId val="573029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95470"/>
        <c:crosses val="autoZero"/>
        <c:auto val="1"/>
        <c:lblAlgn val="ctr"/>
        <c:lblOffset val="100"/>
        <c:noMultiLvlLbl val="0"/>
      </c:catAx>
      <c:valAx>
        <c:axId val="6479547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029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131040</xdr:rowOff>
    </xdr:from>
    <xdr:to>
      <xdr:col>19</xdr:col>
      <xdr:colOff>255960</xdr:colOff>
      <xdr:row>15</xdr:row>
      <xdr:rowOff>174240</xdr:rowOff>
    </xdr:to>
    <xdr:graphicFrame>
      <xdr:nvGraphicFramePr>
        <xdr:cNvPr id="0" name="Chart 1"/>
        <xdr:cNvGraphicFramePr/>
      </xdr:nvGraphicFramePr>
      <xdr:xfrm>
        <a:off x="10972800" y="571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130680</xdr:rowOff>
    </xdr:from>
    <xdr:to>
      <xdr:col>19</xdr:col>
      <xdr:colOff>255960</xdr:colOff>
      <xdr:row>30</xdr:row>
      <xdr:rowOff>173880</xdr:rowOff>
    </xdr:to>
    <xdr:graphicFrame>
      <xdr:nvGraphicFramePr>
        <xdr:cNvPr id="1" name="Chart 2"/>
        <xdr:cNvGraphicFramePr/>
      </xdr:nvGraphicFramePr>
      <xdr:xfrm>
        <a:off x="10972800" y="34290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I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3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v>46346.9993055556</v>
      </c>
      <c r="C5" s="7" t="s">
        <v>7</v>
      </c>
      <c r="D5" s="8"/>
    </row>
    <row r="6" customFormat="false" ht="15" hidden="false" customHeight="false" outlineLevel="0" collapsed="false">
      <c r="A6" s="5" t="s">
        <v>8</v>
      </c>
      <c r="B6" s="6" t="n">
        <v>46344</v>
      </c>
      <c r="C6" s="7" t="s">
        <v>9</v>
      </c>
      <c r="D6" s="8"/>
    </row>
    <row r="7" customFormat="false" ht="15" hidden="false" customHeight="false" outlineLevel="0" collapsed="false">
      <c r="A7" s="5" t="s">
        <v>10</v>
      </c>
      <c r="B7" s="9" t="n">
        <f aca="true">B6-TODAY()</f>
        <v>19</v>
      </c>
      <c r="C7" s="7"/>
      <c r="D7" s="10" t="str">
        <f aca="false">IF(B7&lt;0,"⚠ ПРОСРОЧЕНО",IF(B7&lt;=3,"⚠ Финиш","✓ OK"))</f>
        <v>✓ OK</v>
      </c>
    </row>
    <row r="8" customFormat="false" ht="15" hidden="false" customHeight="false" outlineLevel="0" collapsed="false">
      <c r="A8" s="5" t="s">
        <v>11</v>
      </c>
      <c r="B8" s="9" t="n">
        <f aca="false">SUM(Сцены!$E$2:$E$13)</f>
        <v>360</v>
      </c>
      <c r="C8" s="7" t="s">
        <v>12</v>
      </c>
      <c r="D8" s="10" t="str">
        <f aca="false">IF(AND(B8&gt;=300,B8&lt;=420),"✓ OK","⚠ Вне 5–7 мин")</f>
        <v>✓ OK</v>
      </c>
    </row>
    <row r="9" customFormat="false" ht="15" hidden="false" customHeight="false" outlineLevel="0" collapsed="false">
      <c r="A9" s="5" t="s">
        <v>13</v>
      </c>
      <c r="B9" s="11" t="n">
        <f aca="false">B8/86400</f>
        <v>0.00416666666666667</v>
      </c>
      <c r="C9" s="7" t="s">
        <v>14</v>
      </c>
      <c r="D9" s="8"/>
    </row>
    <row r="10" customFormat="false" ht="15" hidden="false" customHeight="false" outlineLevel="0" collapsed="false">
      <c r="A10" s="5" t="s">
        <v>15</v>
      </c>
      <c r="B10" s="9" t="n">
        <f aca="false">SUMIFS(Шоты!$F$2:$F$500,Шоты!$M$2:$M$500,"&lt;&gt;Вырезано")</f>
        <v>360</v>
      </c>
      <c r="C10" s="7" t="s">
        <v>12</v>
      </c>
      <c r="D10" s="10" t="str">
        <f aca="false">IF(AND(B10&gt;=300,B10&lt;=420),"✓ OK","⚠ Вне 5–7 мин")</f>
        <v>✓ OK</v>
      </c>
    </row>
    <row r="11" customFormat="false" ht="15" hidden="false" customHeight="false" outlineLevel="0" collapsed="false">
      <c r="A11" s="5" t="s">
        <v>16</v>
      </c>
      <c r="B11" s="12" t="n">
        <f aca="false">IFERROR(SUMIFS(Шоты!$F$2:$F$500,Шоты!$I$2:$I$500,"Seedance",Шоты!$M$2:$M$500,"&lt;&gt;Вырезано")/B10,0)</f>
        <v>1</v>
      </c>
      <c r="C11" s="7" t="s">
        <v>17</v>
      </c>
      <c r="D11" s="10" t="str">
        <f aca="false">IF(B11&gt;=0.7,"✓ OK","⚠ Меньше 70%")</f>
        <v>✓ OK</v>
      </c>
    </row>
    <row r="12" customFormat="false" ht="15" hidden="false" customHeight="false" outlineLevel="0" collapsed="false">
      <c r="A12" s="5" t="s">
        <v>18</v>
      </c>
      <c r="B12" s="9" t="n">
        <f aca="false">SUMIFS(Шоты!$F$2:$F$500,Шоты!$M$2:$M$500,"Готово")</f>
        <v>0</v>
      </c>
      <c r="C12" s="7"/>
      <c r="D12" s="12" t="n">
        <f aca="false">IFERROR(B12/B10,0)</f>
        <v>0</v>
      </c>
    </row>
    <row r="13" customFormat="false" ht="15" hidden="false" customHeight="false" outlineLevel="0" collapsed="false">
      <c r="A13" s="5" t="s">
        <v>19</v>
      </c>
      <c r="B13" s="9" t="n">
        <f aca="true">COUNTIFS(Сцены!$V$2:$V$500,"&lt;"&amp;TODAY(),Сцены!$S$2:$S$500,"&lt;&gt;Готово",Сцены!$S$2:$S$500,"&lt;&gt;Вырезано")+COUNTIFS(Шоты!$P$2:$P$500,"&lt;"&amp;TODAY(),Шоты!$M$2:$M$500,"&lt;&gt;Готово",Шоты!$M$2:$M$500,"&lt;&gt;Вырезано")+COUNTIFS(Ассеты!$L$2:$L$500,"&lt;"&amp;TODAY(),Ассеты!$I$2:$I$500,"&lt;&gt;Готово",Ассеты!$I$2:$I$500,"&lt;&gt;Вырезано")+COUNTIFS(Задачи!$E$2:$E$500,"&lt;"&amp;TODAY(),Задачи!$G$2:$G$500,"&lt;&gt;Готово",Задачи!$G$2:$G$500,"&lt;&gt;Вырезано")</f>
        <v>0</v>
      </c>
      <c r="C13" s="7" t="s">
        <v>20</v>
      </c>
      <c r="D13" s="10" t="str">
        <f aca="false">IF(B13=0,"✓ OK","⚠ Есть просрочка")</f>
        <v>✓ OK</v>
      </c>
    </row>
    <row r="14" customFormat="false" ht="15" hidden="false" customHeight="false" outlineLevel="0" collapsed="false">
      <c r="A14" s="5" t="s">
        <v>21</v>
      </c>
      <c r="B14" s="9" t="n">
        <f aca="false">COUNTIF(Ассеты!$G$2:$G$150,0)</f>
        <v>1</v>
      </c>
      <c r="C14" s="7" t="s">
        <v>20</v>
      </c>
      <c r="D14" s="10" t="str">
        <f aca="false">IF(B14=0,"✓ OK","⚠ Проверить")</f>
        <v>⚠ Проверить</v>
      </c>
    </row>
    <row r="15" customFormat="false" ht="15" hidden="false" customHeight="false" outlineLevel="0" collapsed="false">
      <c r="A15" s="5" t="s">
        <v>22</v>
      </c>
      <c r="B15" s="9" t="n">
        <f aca="false">COUNTIF(Сцены!$P$2:$P$13,"&gt;2")+COUNTIF(Сцены!$P$2:$P$13,"&lt;-2")</f>
        <v>0</v>
      </c>
      <c r="C15" s="7" t="s">
        <v>20</v>
      </c>
      <c r="D15" s="10" t="str">
        <f aca="false">IF(B15=0,"✓ OK","⚠ Проверить")</f>
        <v>✓ OK</v>
      </c>
    </row>
    <row r="16" customFormat="false" ht="15" hidden="false" customHeight="false" outlineLevel="0" collapsed="false">
      <c r="A16" s="5" t="s">
        <v>23</v>
      </c>
      <c r="B16" s="9" t="n">
        <f aca="false">COUNTIF(Шоты!$F$2:$F$500,"&gt;15")</f>
        <v>0</v>
      </c>
      <c r="C16" s="7" t="s">
        <v>20</v>
      </c>
      <c r="D16" s="10" t="str">
        <f aca="false">IF(B16=0,"✓ OK","⚠ Резать на склейки")</f>
        <v>✓ OK</v>
      </c>
    </row>
    <row r="18" customFormat="false" ht="15" hidden="false" customHeight="false" outlineLevel="0" collapsed="false">
      <c r="A18" s="13" t="s">
        <v>24</v>
      </c>
    </row>
    <row r="19" customFormat="false" ht="15" hidden="false" customHeight="false" outlineLevel="0" collapsed="false">
      <c r="A19" s="4" t="s">
        <v>25</v>
      </c>
      <c r="B19" s="4" t="s">
        <v>26</v>
      </c>
      <c r="C19" s="14" t="s">
        <v>27</v>
      </c>
      <c r="D19" s="15" t="s">
        <v>28</v>
      </c>
      <c r="E19" s="16" t="s">
        <v>29</v>
      </c>
      <c r="F19" s="17" t="s">
        <v>30</v>
      </c>
      <c r="G19" s="18" t="s">
        <v>31</v>
      </c>
      <c r="H19" s="19" t="s">
        <v>32</v>
      </c>
      <c r="I19" s="4" t="s">
        <v>33</v>
      </c>
    </row>
    <row r="20" customFormat="false" ht="15" hidden="false" customHeight="false" outlineLevel="0" collapsed="false">
      <c r="A20" s="20" t="s">
        <v>34</v>
      </c>
      <c r="B20" s="21" t="n">
        <f aca="false">COUNTIF(Сцены!$S$2:$S$500,"?*")</f>
        <v>12</v>
      </c>
      <c r="C20" s="21" t="n">
        <f aca="false">COUNTIF(Сцены!$S$2:$S$500,C$19)</f>
        <v>12</v>
      </c>
      <c r="D20" s="21" t="n">
        <f aca="false">COUNTIF(Сцены!$S$2:$S$500,D$19)</f>
        <v>0</v>
      </c>
      <c r="E20" s="21" t="n">
        <f aca="false">COUNTIF(Сцены!$S$2:$S$500,E$19)</f>
        <v>0</v>
      </c>
      <c r="F20" s="21" t="n">
        <f aca="false">COUNTIF(Сцены!$S$2:$S$500,F$19)</f>
        <v>0</v>
      </c>
      <c r="G20" s="21" t="n">
        <f aca="false">COUNTIF(Сцены!$S$2:$S$500,G$19)</f>
        <v>0</v>
      </c>
      <c r="H20" s="21" t="n">
        <f aca="false">COUNTIF(Сцены!$S$2:$S$500,H$19)</f>
        <v>0</v>
      </c>
      <c r="I20" s="12" t="n">
        <f aca="false">IFERROR(G20/(B20-H20),0)</f>
        <v>0</v>
      </c>
    </row>
    <row r="21" customFormat="false" ht="15" hidden="false" customHeight="false" outlineLevel="0" collapsed="false">
      <c r="A21" s="20" t="s">
        <v>35</v>
      </c>
      <c r="B21" s="21" t="n">
        <f aca="false">COUNTIF(Шоты!$M$2:$M$500,"?*")</f>
        <v>69</v>
      </c>
      <c r="C21" s="21" t="n">
        <f aca="false">COUNTIF(Шоты!$M$2:$M$500,C$19)</f>
        <v>69</v>
      </c>
      <c r="D21" s="21" t="n">
        <f aca="false">COUNTIF(Шоты!$M$2:$M$500,D$19)</f>
        <v>0</v>
      </c>
      <c r="E21" s="21" t="n">
        <f aca="false">COUNTIF(Шоты!$M$2:$M$500,E$19)</f>
        <v>0</v>
      </c>
      <c r="F21" s="21" t="n">
        <f aca="false">COUNTIF(Шоты!$M$2:$M$500,F$19)</f>
        <v>0</v>
      </c>
      <c r="G21" s="21" t="n">
        <f aca="false">COUNTIF(Шоты!$M$2:$M$500,G$19)</f>
        <v>0</v>
      </c>
      <c r="H21" s="21" t="n">
        <f aca="false">COUNTIF(Шоты!$M$2:$M$500,H$19)</f>
        <v>0</v>
      </c>
      <c r="I21" s="12" t="n">
        <f aca="false">IFERROR(G21/(B21-H21),0)</f>
        <v>0</v>
      </c>
    </row>
    <row r="22" customFormat="false" ht="15" hidden="false" customHeight="false" outlineLevel="0" collapsed="false">
      <c r="A22" s="20" t="s">
        <v>36</v>
      </c>
      <c r="B22" s="21" t="n">
        <f aca="false">COUNTIF(Ассеты!$I$2:$I$500,"?*")</f>
        <v>54</v>
      </c>
      <c r="C22" s="21" t="n">
        <f aca="false">COUNTIF(Ассеты!$I$2:$I$500,C$19)</f>
        <v>54</v>
      </c>
      <c r="D22" s="21" t="n">
        <f aca="false">COUNTIF(Ассеты!$I$2:$I$500,D$19)</f>
        <v>0</v>
      </c>
      <c r="E22" s="21" t="n">
        <f aca="false">COUNTIF(Ассеты!$I$2:$I$500,E$19)</f>
        <v>0</v>
      </c>
      <c r="F22" s="21" t="n">
        <f aca="false">COUNTIF(Ассеты!$I$2:$I$500,F$19)</f>
        <v>0</v>
      </c>
      <c r="G22" s="21" t="n">
        <f aca="false">COUNTIF(Ассеты!$I$2:$I$500,G$19)</f>
        <v>0</v>
      </c>
      <c r="H22" s="21" t="n">
        <f aca="false">COUNTIF(Ассеты!$I$2:$I$500,H$19)</f>
        <v>0</v>
      </c>
      <c r="I22" s="12" t="n">
        <f aca="false">IFERROR(G22/(B22-H22),0)</f>
        <v>0</v>
      </c>
    </row>
    <row r="23" customFormat="false" ht="15" hidden="false" customHeight="false" outlineLevel="0" collapsed="false">
      <c r="A23" s="20" t="s">
        <v>37</v>
      </c>
      <c r="B23" s="21" t="n">
        <f aca="false">COUNTIF(Сетапы!$G$2:$G$500,"?*")</f>
        <v>13</v>
      </c>
      <c r="C23" s="21" t="n">
        <f aca="false">COUNTIF(Сетапы!$G$2:$G$500,C$19)</f>
        <v>13</v>
      </c>
      <c r="D23" s="21" t="n">
        <f aca="false">COUNTIF(Сетапы!$G$2:$G$500,D$19)</f>
        <v>0</v>
      </c>
      <c r="E23" s="21" t="n">
        <f aca="false">COUNTIF(Сетапы!$G$2:$G$500,E$19)</f>
        <v>0</v>
      </c>
      <c r="F23" s="21" t="n">
        <f aca="false">COUNTIF(Сетапы!$G$2:$G$500,F$19)</f>
        <v>0</v>
      </c>
      <c r="G23" s="21" t="n">
        <f aca="false">COUNTIF(Сетапы!$G$2:$G$500,G$19)</f>
        <v>0</v>
      </c>
      <c r="H23" s="21" t="n">
        <f aca="false">COUNTIF(Сетапы!$G$2:$G$500,H$19)</f>
        <v>0</v>
      </c>
      <c r="I23" s="12" t="n">
        <f aca="false">IFERROR(G23/(B23-H23),0)</f>
        <v>0</v>
      </c>
    </row>
    <row r="24" customFormat="false" ht="15" hidden="false" customHeight="false" outlineLevel="0" collapsed="false">
      <c r="A24" s="20" t="s">
        <v>38</v>
      </c>
      <c r="B24" s="21" t="n">
        <f aca="false">COUNTIF(Звук!$I$2:$I$500,"?*")</f>
        <v>23</v>
      </c>
      <c r="C24" s="21" t="n">
        <f aca="false">COUNTIF(Звук!$I$2:$I$500,C$19)</f>
        <v>23</v>
      </c>
      <c r="D24" s="21" t="n">
        <f aca="false">COUNTIF(Звук!$I$2:$I$500,D$19)</f>
        <v>0</v>
      </c>
      <c r="E24" s="21" t="n">
        <f aca="false">COUNTIF(Звук!$I$2:$I$500,E$19)</f>
        <v>0</v>
      </c>
      <c r="F24" s="21" t="n">
        <f aca="false">COUNTIF(Звук!$I$2:$I$500,F$19)</f>
        <v>0</v>
      </c>
      <c r="G24" s="21" t="n">
        <f aca="false">COUNTIF(Звук!$I$2:$I$500,G$19)</f>
        <v>0</v>
      </c>
      <c r="H24" s="21" t="n">
        <f aca="false">COUNTIF(Звук!$I$2:$I$500,H$19)</f>
        <v>0</v>
      </c>
      <c r="I24" s="12" t="n">
        <f aca="false">IFERROR(G24/(B24-H24),0)</f>
        <v>0</v>
      </c>
    </row>
    <row r="25" customFormat="false" ht="15" hidden="false" customHeight="false" outlineLevel="0" collapsed="false">
      <c r="A25" s="20" t="s">
        <v>39</v>
      </c>
      <c r="B25" s="21" t="n">
        <f aca="false">COUNTIF(Задачи!$G$2:$G$500,"?*")</f>
        <v>29</v>
      </c>
      <c r="C25" s="21" t="n">
        <f aca="false">COUNTIF(Задачи!$G$2:$G$500,C$19)</f>
        <v>28</v>
      </c>
      <c r="D25" s="21" t="n">
        <f aca="false">COUNTIF(Задачи!$G$2:$G$500,D$19)</f>
        <v>0</v>
      </c>
      <c r="E25" s="21" t="n">
        <f aca="false">COUNTIF(Задачи!$G$2:$G$500,E$19)</f>
        <v>0</v>
      </c>
      <c r="F25" s="21" t="n">
        <f aca="false">COUNTIF(Задачи!$G$2:$G$500,F$19)</f>
        <v>0</v>
      </c>
      <c r="G25" s="21" t="n">
        <f aca="false">COUNTIF(Задачи!$G$2:$G$500,G$19)</f>
        <v>1</v>
      </c>
      <c r="H25" s="21" t="n">
        <f aca="false">COUNTIF(Задачи!$G$2:$G$500,H$19)</f>
        <v>0</v>
      </c>
      <c r="I25" s="12" t="n">
        <f aca="false">IFERROR(G25/(B25-H25),0)</f>
        <v>0.0344827586206897</v>
      </c>
    </row>
    <row r="28" customFormat="false" ht="15" hidden="false" customHeight="false" outlineLevel="0" collapsed="false">
      <c r="A28" s="13" t="s">
        <v>40</v>
      </c>
    </row>
    <row r="29" customFormat="false" ht="15" hidden="false" customHeight="false" outlineLevel="0" collapsed="false">
      <c r="A29" s="22" t="s">
        <v>41</v>
      </c>
      <c r="B29" s="4" t="s">
        <v>42</v>
      </c>
      <c r="C29" s="4" t="s">
        <v>43</v>
      </c>
    </row>
    <row r="30" customFormat="false" ht="15" hidden="false" customHeight="false" outlineLevel="0" collapsed="false">
      <c r="A30" s="5" t="s">
        <v>44</v>
      </c>
      <c r="B30" s="21" t="n">
        <f aca="false">COUNTIFS(Шоты!$J$2:$J$500,A30,Шоты!$M$2:$M$500,"&lt;&gt;Вырезано")</f>
        <v>69</v>
      </c>
      <c r="C30" s="21" t="n">
        <f aca="false">SUMIFS(Шоты!$F$2:$F$500,Шоты!$J$2:$J$500,A30,Шоты!$M$2:$M$500,"&lt;&gt;Вырезано")</f>
        <v>360</v>
      </c>
    </row>
    <row r="31" customFormat="false" ht="15" hidden="false" customHeight="false" outlineLevel="0" collapsed="false">
      <c r="A31" s="5" t="s">
        <v>45</v>
      </c>
      <c r="B31" s="21" t="n">
        <f aca="false">COUNTIFS(Шоты!$J$2:$J$500,A31,Шоты!$M$2:$M$500,"&lt;&gt;Вырезано")</f>
        <v>0</v>
      </c>
      <c r="C31" s="21" t="n">
        <f aca="false">SUMIFS(Шоты!$F$2:$F$500,Шоты!$J$2:$J$500,A31,Шоты!$M$2:$M$500,"&lt;&gt;Вырезано")</f>
        <v>0</v>
      </c>
    </row>
    <row r="32" customFormat="false" ht="15" hidden="false" customHeight="false" outlineLevel="0" collapsed="false">
      <c r="A32" s="5" t="s">
        <v>46</v>
      </c>
      <c r="B32" s="21" t="n">
        <f aca="false">COUNTIFS(Шоты!$J$2:$J$500,A32,Шоты!$M$2:$M$500,"&lt;&gt;Вырезано")</f>
        <v>0</v>
      </c>
      <c r="C32" s="21" t="n">
        <f aca="false">SUMIFS(Шоты!$F$2:$F$500,Шоты!$J$2:$J$500,A32,Шоты!$M$2:$M$500,"&lt;&gt;Вырезано")</f>
        <v>0</v>
      </c>
    </row>
    <row r="33" customFormat="false" ht="15" hidden="false" customHeight="false" outlineLevel="0" collapsed="false">
      <c r="A33" s="5" t="s">
        <v>47</v>
      </c>
      <c r="B33" s="21" t="n">
        <f aca="false">COUNTIFS(Шоты!$J$2:$J$500,A33,Шоты!$M$2:$M$500,"&lt;&gt;Вырезано")</f>
        <v>0</v>
      </c>
      <c r="C33" s="21" t="n">
        <f aca="false">SUMIFS(Шоты!$F$2:$F$500,Шоты!$J$2:$J$500,A33,Шоты!$M$2:$M$500,"&lt;&gt;Вырезано")</f>
        <v>0</v>
      </c>
    </row>
    <row r="34" customFormat="false" ht="15" hidden="false" customHeight="false" outlineLevel="0" collapsed="false">
      <c r="A34" s="5" t="s">
        <v>48</v>
      </c>
      <c r="B34" s="21" t="n">
        <f aca="false">COUNTIFS(Шоты!$J$2:$J$500,A34,Шоты!$M$2:$M$500,"&lt;&gt;Вырезано")</f>
        <v>0</v>
      </c>
      <c r="C34" s="21" t="n">
        <f aca="false">SUMIFS(Шоты!$F$2:$F$500,Шоты!$J$2:$J$500,A34,Шоты!$M$2:$M$500,"&lt;&gt;Вырезано")</f>
        <v>0</v>
      </c>
    </row>
    <row r="35" customFormat="false" ht="15" hidden="false" customHeight="false" outlineLevel="0" collapsed="false">
      <c r="A35" s="5" t="s">
        <v>49</v>
      </c>
      <c r="B35" s="21" t="n">
        <f aca="false">COUNTIFS(Шоты!$J$2:$J$500,A35,Шоты!$M$2:$M$500,"&lt;&gt;Вырезано")</f>
        <v>0</v>
      </c>
      <c r="C35" s="21" t="n">
        <f aca="false">SUMIFS(Шоты!$F$2:$F$500,Шоты!$J$2:$J$500,A35,Шоты!$M$2:$M$500,"&lt;&gt;Вырезано")</f>
        <v>0</v>
      </c>
    </row>
    <row r="36" customFormat="false" ht="15" hidden="false" customHeight="false" outlineLevel="0" collapsed="false">
      <c r="A36" s="5" t="s">
        <v>50</v>
      </c>
      <c r="B36" s="21" t="n">
        <f aca="false">COUNTIFS(Шоты!$J$2:$J$500,A36,Шоты!$M$2:$M$500,"&lt;&gt;Вырезано")</f>
        <v>0</v>
      </c>
      <c r="C36" s="21" t="n">
        <f aca="false">SUMIFS(Шоты!$F$2:$F$500,Шоты!$J$2:$J$500,A36,Шоты!$M$2:$M$500,"&lt;&gt;Вырезано")</f>
        <v>0</v>
      </c>
    </row>
    <row r="39" customFormat="false" ht="15" hidden="false" customHeight="false" outlineLevel="0" collapsed="false">
      <c r="A39" s="13" t="s">
        <v>51</v>
      </c>
    </row>
    <row r="40" customFormat="false" ht="15" hidden="false" customHeight="false" outlineLevel="0" collapsed="false">
      <c r="A40" s="23" t="s">
        <v>52</v>
      </c>
      <c r="B40" s="23"/>
      <c r="C40" s="23"/>
      <c r="D40" s="23"/>
      <c r="E40" s="23"/>
      <c r="F40" s="23"/>
      <c r="G40" s="23"/>
      <c r="H40" s="23"/>
      <c r="I40" s="23"/>
    </row>
    <row r="41" customFormat="false" ht="15" hidden="false" customHeight="false" outlineLevel="0" collapsed="false">
      <c r="A41" s="23" t="s">
        <v>53</v>
      </c>
      <c r="B41" s="23"/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A42" s="23" t="s">
        <v>54</v>
      </c>
      <c r="B42" s="23"/>
      <c r="C42" s="23"/>
      <c r="D42" s="23"/>
      <c r="E42" s="23"/>
      <c r="F42" s="23"/>
      <c r="G42" s="23"/>
      <c r="H42" s="23"/>
      <c r="I42" s="23"/>
    </row>
    <row r="43" customFormat="false" ht="15" hidden="false" customHeight="false" outlineLevel="0" collapsed="false">
      <c r="A43" s="23" t="s">
        <v>55</v>
      </c>
      <c r="B43" s="23"/>
      <c r="C43" s="23"/>
      <c r="D43" s="23"/>
      <c r="E43" s="23"/>
      <c r="F43" s="23"/>
      <c r="G43" s="23"/>
      <c r="H43" s="23"/>
      <c r="I43" s="23"/>
    </row>
    <row r="44" customFormat="false" ht="15" hidden="false" customHeight="false" outlineLevel="0" collapsed="false">
      <c r="A44" s="23" t="s">
        <v>56</v>
      </c>
      <c r="B44" s="23"/>
      <c r="C44" s="23"/>
      <c r="D44" s="23"/>
      <c r="E44" s="23"/>
      <c r="F44" s="23"/>
      <c r="G44" s="23"/>
      <c r="H44" s="23"/>
      <c r="I44" s="23"/>
    </row>
    <row r="45" customFormat="false" ht="15" hidden="false" customHeight="false" outlineLevel="0" collapsed="false">
      <c r="A45" s="23" t="s">
        <v>57</v>
      </c>
      <c r="B45" s="23"/>
      <c r="C45" s="23"/>
      <c r="D45" s="23"/>
      <c r="E45" s="23"/>
      <c r="F45" s="23"/>
      <c r="G45" s="23"/>
      <c r="H45" s="23"/>
      <c r="I45" s="23"/>
    </row>
    <row r="46" customFormat="false" ht="15" hidden="false" customHeight="false" outlineLevel="0" collapsed="false">
      <c r="A46" s="23" t="s">
        <v>58</v>
      </c>
      <c r="B46" s="23"/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A47" s="23" t="s">
        <v>59</v>
      </c>
      <c r="B47" s="23"/>
      <c r="C47" s="23"/>
      <c r="D47" s="23"/>
      <c r="E47" s="23"/>
      <c r="F47" s="23"/>
      <c r="G47" s="23"/>
      <c r="H47" s="23"/>
      <c r="I47" s="23"/>
    </row>
    <row r="48" customFormat="false" ht="15" hidden="false" customHeight="false" outlineLevel="0" collapsed="false">
      <c r="A48" s="24" t="s">
        <v>60</v>
      </c>
      <c r="B48" s="24"/>
      <c r="C48" s="24"/>
      <c r="D48" s="24"/>
      <c r="E48" s="24"/>
      <c r="F48" s="24"/>
      <c r="G48" s="24"/>
      <c r="H48" s="24"/>
      <c r="I48" s="24"/>
    </row>
    <row r="50" customFormat="false" ht="15" hidden="false" customHeight="false" outlineLevel="0" collapsed="false">
      <c r="A50" s="13" t="s">
        <v>61</v>
      </c>
    </row>
    <row r="51" customFormat="false" ht="15" hidden="false" customHeight="false" outlineLevel="0" collapsed="false">
      <c r="A51" s="23" t="s">
        <v>62</v>
      </c>
      <c r="B51" s="23"/>
      <c r="C51" s="23"/>
      <c r="D51" s="23"/>
      <c r="E51" s="23"/>
      <c r="F51" s="23"/>
      <c r="G51" s="23"/>
      <c r="H51" s="23"/>
      <c r="I51" s="23"/>
    </row>
    <row r="52" customFormat="false" ht="15" hidden="false" customHeight="false" outlineLevel="0" collapsed="false">
      <c r="A52" s="23" t="s">
        <v>63</v>
      </c>
      <c r="B52" s="23"/>
      <c r="C52" s="23"/>
      <c r="D52" s="23"/>
      <c r="E52" s="23"/>
      <c r="F52" s="23"/>
      <c r="G52" s="23"/>
      <c r="H52" s="23"/>
      <c r="I52" s="23"/>
    </row>
    <row r="53" customFormat="false" ht="15" hidden="false" customHeight="false" outlineLevel="0" collapsed="false">
      <c r="A53" s="23" t="s">
        <v>64</v>
      </c>
      <c r="B53" s="23"/>
      <c r="C53" s="23"/>
      <c r="D53" s="23"/>
      <c r="E53" s="23"/>
      <c r="F53" s="23"/>
      <c r="G53" s="23"/>
      <c r="H53" s="23"/>
      <c r="I53" s="23"/>
    </row>
    <row r="54" customFormat="false" ht="15" hidden="false" customHeight="false" outlineLevel="0" collapsed="false">
      <c r="A54" s="23" t="s">
        <v>65</v>
      </c>
      <c r="B54" s="23"/>
      <c r="C54" s="23"/>
      <c r="D54" s="23"/>
      <c r="E54" s="23"/>
      <c r="F54" s="23"/>
      <c r="G54" s="23"/>
      <c r="H54" s="23"/>
      <c r="I54" s="23"/>
    </row>
    <row r="55" customFormat="false" ht="15" hidden="false" customHeight="false" outlineLevel="0" collapsed="false">
      <c r="A55" s="23" t="s">
        <v>66</v>
      </c>
      <c r="B55" s="23"/>
      <c r="C55" s="23"/>
      <c r="D55" s="23"/>
      <c r="E55" s="23"/>
      <c r="F55" s="23"/>
      <c r="G55" s="23"/>
      <c r="H55" s="23"/>
      <c r="I55" s="23"/>
    </row>
    <row r="56" customFormat="false" ht="15" hidden="false" customHeight="false" outlineLevel="0" collapsed="false">
      <c r="A56" s="23" t="s">
        <v>67</v>
      </c>
      <c r="B56" s="23"/>
      <c r="C56" s="23"/>
      <c r="D56" s="23"/>
      <c r="E56" s="23"/>
      <c r="F56" s="23"/>
      <c r="G56" s="23"/>
      <c r="H56" s="23"/>
      <c r="I56" s="23"/>
    </row>
    <row r="57" customFormat="false" ht="15" hidden="false" customHeight="false" outlineLevel="0" collapsed="false">
      <c r="A57" s="23" t="s">
        <v>68</v>
      </c>
      <c r="B57" s="23"/>
      <c r="C57" s="23"/>
      <c r="D57" s="23"/>
      <c r="E57" s="23"/>
      <c r="F57" s="23"/>
      <c r="G57" s="23"/>
      <c r="H57" s="23"/>
      <c r="I57" s="23"/>
    </row>
  </sheetData>
  <mergeCells count="16"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51:I51"/>
    <mergeCell ref="A52:I52"/>
    <mergeCell ref="A53:I53"/>
    <mergeCell ref="A54:I54"/>
    <mergeCell ref="A55:I55"/>
    <mergeCell ref="A56:I56"/>
    <mergeCell ref="A57:I57"/>
  </mergeCells>
  <conditionalFormatting sqref="D5:D16">
    <cfRule type="expression" priority="2" aboveAverage="0" equalAverage="0" bottom="0" percent="0" rank="0" text="" dxfId="0">
      <formula>LEFT(D5,1)="✓"</formula>
    </cfRule>
    <cfRule type="expression" priority="3" aboveAverage="0" equalAverage="0" bottom="0" percent="0" rank="0" text="" dxfId="1">
      <formula>LEFT(D5,1)="⚠"</formula>
    </cfRule>
  </conditionalFormatting>
  <conditionalFormatting sqref="D12">
    <cfRule type="dataBar" priority="4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{143A6BEF-4A92-42BB-B2EB-4E7BB0F85C94}</x14:id>
        </ext>
      </extLst>
    </cfRule>
  </conditionalFormatting>
  <conditionalFormatting sqref="I20:I25">
    <cfRule type="dataBar" priority="5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{9864AFDB-A089-4FC7-828F-70CA7A7DA5D4}</x14:id>
        </ext>
      </extLst>
    </cfRule>
  </conditionalFormatting>
  <conditionalFormatting sqref="B30:B36">
    <cfRule type="dataBar" priority="6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{E65077F4-59A0-4E8B-B1A4-72A5105224E2}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3A6BEF-4A92-42BB-B2EB-4E7BB0F85C9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D12</xm:sqref>
        </x14:conditionalFormatting>
        <x14:conditionalFormatting xmlns:xm="http://schemas.microsoft.com/office/excel/2006/main">
          <x14:cfRule type="dataBar" id="{9864AFDB-A089-4FC7-828F-70CA7A7DA5D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I20:I25</xm:sqref>
        </x14:conditionalFormatting>
        <x14:conditionalFormatting xmlns:xm="http://schemas.microsoft.com/office/excel/2006/main">
          <x14:cfRule type="dataBar" id="{E65077F4-59A0-4E8B-B1A4-72A5105224E2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B30:B36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W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8" min="8" style="0" width="26"/>
    <col collapsed="false" customWidth="true" hidden="false" outlineLevel="0" max="9" min="9" style="0" width="28"/>
    <col collapsed="false" customWidth="true" hidden="false" outlineLevel="0" max="10" min="10" style="0" width="32"/>
    <col collapsed="false" customWidth="true" hidden="false" outlineLevel="0" max="11" min="11" style="0" width="9"/>
    <col collapsed="false" customWidth="true" hidden="false" outlineLevel="0" max="12" min="12" style="0" width="30"/>
    <col collapsed="false" customWidth="true" hidden="false" outlineLevel="0" max="13" min="13" style="0" width="26"/>
    <col collapsed="false" customWidth="true" hidden="false" outlineLevel="0" max="14" min="14" style="0" width="7"/>
    <col collapsed="false" customWidth="true" hidden="false" outlineLevel="0" max="16" min="15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13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30"/>
  </cols>
  <sheetData>
    <row r="1" customFormat="false" ht="33.75" hidden="false" customHeight="true" outlineLevel="0" collapsed="false">
      <c r="A1" s="25" t="s">
        <v>69</v>
      </c>
      <c r="B1" s="25" t="s">
        <v>70</v>
      </c>
      <c r="C1" s="25" t="s">
        <v>71</v>
      </c>
      <c r="D1" s="25" t="s">
        <v>72</v>
      </c>
      <c r="E1" s="25" t="s">
        <v>73</v>
      </c>
      <c r="F1" s="26" t="s">
        <v>74</v>
      </c>
      <c r="G1" s="26" t="s">
        <v>75</v>
      </c>
      <c r="H1" s="25" t="s">
        <v>76</v>
      </c>
      <c r="I1" s="25" t="s">
        <v>77</v>
      </c>
      <c r="J1" s="25" t="s">
        <v>78</v>
      </c>
      <c r="K1" s="25" t="s">
        <v>79</v>
      </c>
      <c r="L1" s="25" t="s">
        <v>80</v>
      </c>
      <c r="M1" s="25" t="s">
        <v>81</v>
      </c>
      <c r="N1" s="26" t="s">
        <v>42</v>
      </c>
      <c r="O1" s="26" t="s">
        <v>82</v>
      </c>
      <c r="P1" s="26" t="s">
        <v>83</v>
      </c>
      <c r="Q1" s="26" t="s">
        <v>84</v>
      </c>
      <c r="R1" s="26" t="s">
        <v>85</v>
      </c>
      <c r="S1" s="25" t="s">
        <v>86</v>
      </c>
      <c r="T1" s="25" t="s">
        <v>87</v>
      </c>
      <c r="U1" s="25" t="s">
        <v>88</v>
      </c>
      <c r="V1" s="25" t="s">
        <v>89</v>
      </c>
      <c r="W1" s="25" t="s">
        <v>90</v>
      </c>
    </row>
    <row r="2" customFormat="false" ht="23.85" hidden="false" customHeight="false" outlineLevel="0" collapsed="false">
      <c r="A2" s="27" t="n">
        <v>1</v>
      </c>
      <c r="B2" s="28" t="s">
        <v>91</v>
      </c>
      <c r="C2" s="28" t="s">
        <v>92</v>
      </c>
      <c r="D2" s="28" t="s">
        <v>93</v>
      </c>
      <c r="E2" s="27" t="n">
        <v>25</v>
      </c>
      <c r="F2" s="29" t="n">
        <f aca="false">0</f>
        <v>0</v>
      </c>
      <c r="G2" s="29" t="n">
        <f aca="false">F2+E2/86400</f>
        <v>0.000289351851851852</v>
      </c>
      <c r="H2" s="28" t="s">
        <v>94</v>
      </c>
      <c r="I2" s="28" t="s">
        <v>95</v>
      </c>
      <c r="J2" s="28" t="s">
        <v>96</v>
      </c>
      <c r="K2" s="27" t="n">
        <v>0</v>
      </c>
      <c r="L2" s="28" t="s">
        <v>97</v>
      </c>
      <c r="M2" s="28" t="s">
        <v>98</v>
      </c>
      <c r="N2" s="30" t="n">
        <f aca="false">COUNTIF(Шоты!$B$2:$B$500,A2)</f>
        <v>6</v>
      </c>
      <c r="O2" s="30" t="n">
        <f aca="false">SUMIFS(Шоты!$F$2:$F$500,Шоты!$B$2:$B$500,A2,Шоты!$M$2:$M$500,"&lt;&gt;Вырезано")</f>
        <v>25</v>
      </c>
      <c r="P2" s="30" t="n">
        <f aca="false">O2-E2</f>
        <v>0</v>
      </c>
      <c r="Q2" s="30" t="n">
        <f aca="false">COUNTIFS(Шоты!$B$2:$B$500,A2,Шоты!$M$2:$M$500,"Готово")</f>
        <v>0</v>
      </c>
      <c r="R2" s="31" t="n">
        <f aca="false">IFERROR(Q2/(N2-COUNTIFS(Шоты!$B$2:$B$500,A2,Шоты!$M$2:$M$500,"Вырезано")),0)</f>
        <v>0</v>
      </c>
      <c r="S2" s="28" t="s">
        <v>27</v>
      </c>
      <c r="T2" s="28" t="s">
        <v>99</v>
      </c>
      <c r="U2" s="28"/>
      <c r="V2" s="32"/>
      <c r="W2" s="28"/>
    </row>
    <row r="3" customFormat="false" ht="23.85" hidden="false" customHeight="false" outlineLevel="0" collapsed="false">
      <c r="A3" s="27" t="n">
        <v>2</v>
      </c>
      <c r="B3" s="28" t="s">
        <v>100</v>
      </c>
      <c r="C3" s="28" t="s">
        <v>101</v>
      </c>
      <c r="D3" s="28" t="s">
        <v>102</v>
      </c>
      <c r="E3" s="27" t="n">
        <v>30</v>
      </c>
      <c r="F3" s="29" t="n">
        <f aca="false">G2</f>
        <v>0.000289351851851852</v>
      </c>
      <c r="G3" s="29" t="n">
        <f aca="false">F3+E3/86400</f>
        <v>0.000636574074074074</v>
      </c>
      <c r="H3" s="28" t="s">
        <v>103</v>
      </c>
      <c r="I3" s="28" t="s">
        <v>104</v>
      </c>
      <c r="J3" s="28" t="s">
        <v>105</v>
      </c>
      <c r="K3" s="27" t="n">
        <v>0</v>
      </c>
      <c r="L3" s="28" t="s">
        <v>106</v>
      </c>
      <c r="M3" s="28" t="s">
        <v>107</v>
      </c>
      <c r="N3" s="30" t="n">
        <f aca="false">COUNTIF(Шоты!$B$2:$B$500,A3)</f>
        <v>6</v>
      </c>
      <c r="O3" s="30" t="n">
        <f aca="false">SUMIFS(Шоты!$F$2:$F$500,Шоты!$B$2:$B$500,A3,Шоты!$M$2:$M$500,"&lt;&gt;Вырезано")</f>
        <v>30</v>
      </c>
      <c r="P3" s="30" t="n">
        <f aca="false">O3-E3</f>
        <v>0</v>
      </c>
      <c r="Q3" s="30" t="n">
        <f aca="false">COUNTIFS(Шоты!$B$2:$B$500,A3,Шоты!$M$2:$M$500,"Готово")</f>
        <v>0</v>
      </c>
      <c r="R3" s="31" t="n">
        <f aca="false">IFERROR(Q3/(N3-COUNTIFS(Шоты!$B$2:$B$500,A3,Шоты!$M$2:$M$500,"Вырезано")),0)</f>
        <v>0</v>
      </c>
      <c r="S3" s="28" t="s">
        <v>27</v>
      </c>
      <c r="T3" s="28" t="s">
        <v>108</v>
      </c>
      <c r="U3" s="28"/>
      <c r="V3" s="32"/>
      <c r="W3" s="28"/>
    </row>
    <row r="4" customFormat="false" ht="23.85" hidden="false" customHeight="false" outlineLevel="0" collapsed="false">
      <c r="A4" s="27" t="n">
        <v>3</v>
      </c>
      <c r="B4" s="28" t="s">
        <v>109</v>
      </c>
      <c r="C4" s="28" t="s">
        <v>110</v>
      </c>
      <c r="D4" s="28" t="s">
        <v>111</v>
      </c>
      <c r="E4" s="27" t="n">
        <v>25</v>
      </c>
      <c r="F4" s="29" t="n">
        <f aca="false">G3</f>
        <v>0.000636574074074074</v>
      </c>
      <c r="G4" s="29" t="n">
        <f aca="false">F4+E4/86400</f>
        <v>0.000925925925925926</v>
      </c>
      <c r="H4" s="28" t="s">
        <v>112</v>
      </c>
      <c r="I4" s="28" t="s">
        <v>113</v>
      </c>
      <c r="J4" s="28" t="s">
        <v>114</v>
      </c>
      <c r="K4" s="27" t="n">
        <v>0</v>
      </c>
      <c r="L4" s="28" t="s">
        <v>115</v>
      </c>
      <c r="M4" s="28" t="s">
        <v>116</v>
      </c>
      <c r="N4" s="30" t="n">
        <f aca="false">COUNTIF(Шоты!$B$2:$B$500,A4)</f>
        <v>5</v>
      </c>
      <c r="O4" s="30" t="n">
        <f aca="false">SUMIFS(Шоты!$F$2:$F$500,Шоты!$B$2:$B$500,A4,Шоты!$M$2:$M$500,"&lt;&gt;Вырезано")</f>
        <v>25</v>
      </c>
      <c r="P4" s="30" t="n">
        <f aca="false">O4-E4</f>
        <v>0</v>
      </c>
      <c r="Q4" s="30" t="n">
        <f aca="false">COUNTIFS(Шоты!$B$2:$B$500,A4,Шоты!$M$2:$M$500,"Готово")</f>
        <v>0</v>
      </c>
      <c r="R4" s="31" t="n">
        <f aca="false">IFERROR(Q4/(N4-COUNTIFS(Шоты!$B$2:$B$500,A4,Шоты!$M$2:$M$500,"Вырезано")),0)</f>
        <v>0</v>
      </c>
      <c r="S4" s="28" t="s">
        <v>27</v>
      </c>
      <c r="T4" s="28" t="s">
        <v>108</v>
      </c>
      <c r="U4" s="28"/>
      <c r="V4" s="32"/>
      <c r="W4" s="28"/>
    </row>
    <row r="5" customFormat="false" ht="35.05" hidden="false" customHeight="false" outlineLevel="0" collapsed="false">
      <c r="A5" s="27" t="n">
        <v>4</v>
      </c>
      <c r="B5" s="28" t="s">
        <v>117</v>
      </c>
      <c r="C5" s="28" t="s">
        <v>118</v>
      </c>
      <c r="D5" s="28" t="s">
        <v>93</v>
      </c>
      <c r="E5" s="27" t="n">
        <v>30</v>
      </c>
      <c r="F5" s="29" t="n">
        <f aca="false">G4</f>
        <v>0.000925925925925926</v>
      </c>
      <c r="G5" s="29" t="n">
        <f aca="false">F5+E5/86400</f>
        <v>0.00127314814814815</v>
      </c>
      <c r="H5" s="28" t="s">
        <v>119</v>
      </c>
      <c r="I5" s="28" t="s">
        <v>120</v>
      </c>
      <c r="J5" s="28" t="s">
        <v>121</v>
      </c>
      <c r="K5" s="27" t="n">
        <v>1</v>
      </c>
      <c r="L5" s="28" t="s">
        <v>122</v>
      </c>
      <c r="M5" s="28" t="s">
        <v>123</v>
      </c>
      <c r="N5" s="30" t="n">
        <f aca="false">COUNTIF(Шоты!$B$2:$B$500,A5)</f>
        <v>6</v>
      </c>
      <c r="O5" s="30" t="n">
        <f aca="false">SUMIFS(Шоты!$F$2:$F$500,Шоты!$B$2:$B$500,A5,Шоты!$M$2:$M$500,"&lt;&gt;Вырезано")</f>
        <v>30</v>
      </c>
      <c r="P5" s="30" t="n">
        <f aca="false">O5-E5</f>
        <v>0</v>
      </c>
      <c r="Q5" s="30" t="n">
        <f aca="false">COUNTIFS(Шоты!$B$2:$B$500,A5,Шоты!$M$2:$M$500,"Готово")</f>
        <v>0</v>
      </c>
      <c r="R5" s="31" t="n">
        <f aca="false">IFERROR(Q5/(N5-COUNTIFS(Шоты!$B$2:$B$500,A5,Шоты!$M$2:$M$500,"Вырезано")),0)</f>
        <v>0</v>
      </c>
      <c r="S5" s="28" t="s">
        <v>27</v>
      </c>
      <c r="T5" s="28" t="s">
        <v>99</v>
      </c>
      <c r="U5" s="28"/>
      <c r="V5" s="32"/>
      <c r="W5" s="28"/>
    </row>
    <row r="6" customFormat="false" ht="23.85" hidden="false" customHeight="false" outlineLevel="0" collapsed="false">
      <c r="A6" s="27" t="n">
        <v>5</v>
      </c>
      <c r="B6" s="28" t="s">
        <v>124</v>
      </c>
      <c r="C6" s="28" t="s">
        <v>125</v>
      </c>
      <c r="D6" s="28" t="s">
        <v>126</v>
      </c>
      <c r="E6" s="27" t="n">
        <v>30</v>
      </c>
      <c r="F6" s="29" t="n">
        <f aca="false">G5</f>
        <v>0.00127314814814815</v>
      </c>
      <c r="G6" s="29" t="n">
        <f aca="false">F6+E6/86400</f>
        <v>0.00162037037037037</v>
      </c>
      <c r="H6" s="28" t="s">
        <v>127</v>
      </c>
      <c r="I6" s="28" t="s">
        <v>128</v>
      </c>
      <c r="J6" s="28" t="s">
        <v>129</v>
      </c>
      <c r="K6" s="27" t="n">
        <v>2</v>
      </c>
      <c r="L6" s="28" t="s">
        <v>130</v>
      </c>
      <c r="M6" s="28" t="s">
        <v>131</v>
      </c>
      <c r="N6" s="30" t="n">
        <f aca="false">COUNTIF(Шоты!$B$2:$B$500,A6)</f>
        <v>5</v>
      </c>
      <c r="O6" s="30" t="n">
        <f aca="false">SUMIFS(Шоты!$F$2:$F$500,Шоты!$B$2:$B$500,A6,Шоты!$M$2:$M$500,"&lt;&gt;Вырезано")</f>
        <v>30</v>
      </c>
      <c r="P6" s="30" t="n">
        <f aca="false">O6-E6</f>
        <v>0</v>
      </c>
      <c r="Q6" s="30" t="n">
        <f aca="false">COUNTIFS(Шоты!$B$2:$B$500,A6,Шоты!$M$2:$M$500,"Готово")</f>
        <v>0</v>
      </c>
      <c r="R6" s="31" t="n">
        <f aca="false">IFERROR(Q6/(N6-COUNTIFS(Шоты!$B$2:$B$500,A6,Шоты!$M$2:$M$500,"Вырезано")),0)</f>
        <v>0</v>
      </c>
      <c r="S6" s="28" t="s">
        <v>27</v>
      </c>
      <c r="T6" s="28" t="s">
        <v>108</v>
      </c>
      <c r="U6" s="28"/>
      <c r="V6" s="32"/>
      <c r="W6" s="28"/>
    </row>
    <row r="7" customFormat="false" ht="23.85" hidden="false" customHeight="false" outlineLevel="0" collapsed="false">
      <c r="A7" s="27" t="n">
        <v>6</v>
      </c>
      <c r="B7" s="28" t="s">
        <v>132</v>
      </c>
      <c r="C7" s="28" t="s">
        <v>133</v>
      </c>
      <c r="D7" s="28" t="s">
        <v>134</v>
      </c>
      <c r="E7" s="27" t="n">
        <v>30</v>
      </c>
      <c r="F7" s="29" t="n">
        <f aca="false">G6</f>
        <v>0.00162037037037037</v>
      </c>
      <c r="G7" s="29" t="n">
        <f aca="false">F7+E7/86400</f>
        <v>0.00196759259259259</v>
      </c>
      <c r="H7" s="28" t="s">
        <v>135</v>
      </c>
      <c r="I7" s="28" t="s">
        <v>136</v>
      </c>
      <c r="J7" s="28" t="s">
        <v>137</v>
      </c>
      <c r="K7" s="27" t="n">
        <v>2</v>
      </c>
      <c r="L7" s="28" t="s">
        <v>138</v>
      </c>
      <c r="M7" s="28" t="s">
        <v>139</v>
      </c>
      <c r="N7" s="30" t="n">
        <f aca="false">COUNTIF(Шоты!$B$2:$B$500,A7)</f>
        <v>6</v>
      </c>
      <c r="O7" s="30" t="n">
        <f aca="false">SUMIFS(Шоты!$F$2:$F$500,Шоты!$B$2:$B$500,A7,Шоты!$M$2:$M$500,"&lt;&gt;Вырезано")</f>
        <v>30</v>
      </c>
      <c r="P7" s="30" t="n">
        <f aca="false">O7-E7</f>
        <v>0</v>
      </c>
      <c r="Q7" s="30" t="n">
        <f aca="false">COUNTIFS(Шоты!$B$2:$B$500,A7,Шоты!$M$2:$M$500,"Готово")</f>
        <v>0</v>
      </c>
      <c r="R7" s="31" t="n">
        <f aca="false">IFERROR(Q7/(N7-COUNTIFS(Шоты!$B$2:$B$500,A7,Шоты!$M$2:$M$500,"Вырезано")),0)</f>
        <v>0</v>
      </c>
      <c r="S7" s="28" t="s">
        <v>27</v>
      </c>
      <c r="T7" s="28" t="s">
        <v>108</v>
      </c>
      <c r="U7" s="28"/>
      <c r="V7" s="32"/>
      <c r="W7" s="28"/>
    </row>
    <row r="8" customFormat="false" ht="35.05" hidden="false" customHeight="false" outlineLevel="0" collapsed="false">
      <c r="A8" s="27" t="n">
        <v>7</v>
      </c>
      <c r="B8" s="28" t="s">
        <v>140</v>
      </c>
      <c r="C8" s="28" t="s">
        <v>141</v>
      </c>
      <c r="D8" s="28" t="s">
        <v>102</v>
      </c>
      <c r="E8" s="27" t="n">
        <v>40</v>
      </c>
      <c r="F8" s="29" t="n">
        <f aca="false">G7</f>
        <v>0.00196759259259259</v>
      </c>
      <c r="G8" s="29" t="n">
        <f aca="false">F8+E8/86400</f>
        <v>0.00243055555555556</v>
      </c>
      <c r="H8" s="28" t="s">
        <v>142</v>
      </c>
      <c r="I8" s="28" t="s">
        <v>143</v>
      </c>
      <c r="J8" s="28" t="s">
        <v>114</v>
      </c>
      <c r="K8" s="27" t="n">
        <v>5</v>
      </c>
      <c r="L8" s="28" t="s">
        <v>144</v>
      </c>
      <c r="M8" s="28" t="s">
        <v>145</v>
      </c>
      <c r="N8" s="30" t="n">
        <f aca="false">COUNTIF(Шоты!$B$2:$B$500,A8)</f>
        <v>6</v>
      </c>
      <c r="O8" s="30" t="n">
        <f aca="false">SUMIFS(Шоты!$F$2:$F$500,Шоты!$B$2:$B$500,A8,Шоты!$M$2:$M$500,"&lt;&gt;Вырезано")</f>
        <v>40</v>
      </c>
      <c r="P8" s="30" t="n">
        <f aca="false">O8-E8</f>
        <v>0</v>
      </c>
      <c r="Q8" s="30" t="n">
        <f aca="false">COUNTIFS(Шоты!$B$2:$B$500,A8,Шоты!$M$2:$M$500,"Готово")</f>
        <v>0</v>
      </c>
      <c r="R8" s="31" t="n">
        <f aca="false">IFERROR(Q8/(N8-COUNTIFS(Шоты!$B$2:$B$500,A8,Шоты!$M$2:$M$500,"Вырезано")),0)</f>
        <v>0</v>
      </c>
      <c r="S8" s="28" t="s">
        <v>27</v>
      </c>
      <c r="T8" s="28" t="s">
        <v>108</v>
      </c>
      <c r="U8" s="28"/>
      <c r="V8" s="32"/>
      <c r="W8" s="28"/>
    </row>
    <row r="9" customFormat="false" ht="23.85" hidden="false" customHeight="false" outlineLevel="0" collapsed="false">
      <c r="A9" s="27" t="n">
        <v>8</v>
      </c>
      <c r="B9" s="28" t="s">
        <v>146</v>
      </c>
      <c r="C9" s="28" t="s">
        <v>147</v>
      </c>
      <c r="D9" s="28" t="s">
        <v>148</v>
      </c>
      <c r="E9" s="27" t="n">
        <v>30</v>
      </c>
      <c r="F9" s="29" t="n">
        <f aca="false">G8</f>
        <v>0.00243055555555556</v>
      </c>
      <c r="G9" s="29" t="n">
        <f aca="false">F9+E9/86400</f>
        <v>0.00277777777777778</v>
      </c>
      <c r="H9" s="28" t="s">
        <v>149</v>
      </c>
      <c r="I9" s="28" t="s">
        <v>150</v>
      </c>
      <c r="J9" s="28" t="s">
        <v>151</v>
      </c>
      <c r="K9" s="27" t="n">
        <v>3</v>
      </c>
      <c r="L9" s="28" t="s">
        <v>152</v>
      </c>
      <c r="M9" s="28" t="s">
        <v>153</v>
      </c>
      <c r="N9" s="30" t="n">
        <f aca="false">COUNTIF(Шоты!$B$2:$B$500,A9)</f>
        <v>6</v>
      </c>
      <c r="O9" s="30" t="n">
        <f aca="false">SUMIFS(Шоты!$F$2:$F$500,Шоты!$B$2:$B$500,A9,Шоты!$M$2:$M$500,"&lt;&gt;Вырезано")</f>
        <v>30</v>
      </c>
      <c r="P9" s="30" t="n">
        <f aca="false">O9-E9</f>
        <v>0</v>
      </c>
      <c r="Q9" s="30" t="n">
        <f aca="false">COUNTIFS(Шоты!$B$2:$B$500,A9,Шоты!$M$2:$M$500,"Готово")</f>
        <v>0</v>
      </c>
      <c r="R9" s="31" t="n">
        <f aca="false">IFERROR(Q9/(N9-COUNTIFS(Шоты!$B$2:$B$500,A9,Шоты!$M$2:$M$500,"Вырезано")),0)</f>
        <v>0</v>
      </c>
      <c r="S9" s="28" t="s">
        <v>27</v>
      </c>
      <c r="T9" s="28" t="s">
        <v>108</v>
      </c>
      <c r="U9" s="28"/>
      <c r="V9" s="32"/>
      <c r="W9" s="28"/>
    </row>
    <row r="10" customFormat="false" ht="23.85" hidden="false" customHeight="false" outlineLevel="0" collapsed="false">
      <c r="A10" s="27" t="n">
        <v>9</v>
      </c>
      <c r="B10" s="28" t="s">
        <v>154</v>
      </c>
      <c r="C10" s="28" t="s">
        <v>155</v>
      </c>
      <c r="D10" s="28" t="s">
        <v>156</v>
      </c>
      <c r="E10" s="27" t="n">
        <v>30</v>
      </c>
      <c r="F10" s="29" t="n">
        <f aca="false">G9</f>
        <v>0.00277777777777778</v>
      </c>
      <c r="G10" s="29" t="n">
        <f aca="false">F10+E10/86400</f>
        <v>0.003125</v>
      </c>
      <c r="H10" s="28" t="s">
        <v>157</v>
      </c>
      <c r="I10" s="28" t="s">
        <v>158</v>
      </c>
      <c r="J10" s="28" t="s">
        <v>159</v>
      </c>
      <c r="K10" s="27" t="n">
        <v>3</v>
      </c>
      <c r="L10" s="28" t="s">
        <v>160</v>
      </c>
      <c r="M10" s="28" t="s">
        <v>161</v>
      </c>
      <c r="N10" s="30" t="n">
        <f aca="false">COUNTIF(Шоты!$B$2:$B$500,A10)</f>
        <v>5</v>
      </c>
      <c r="O10" s="30" t="n">
        <f aca="false">SUMIFS(Шоты!$F$2:$F$500,Шоты!$B$2:$B$500,A10,Шоты!$M$2:$M$500,"&lt;&gt;Вырезано")</f>
        <v>30</v>
      </c>
      <c r="P10" s="30" t="n">
        <f aca="false">O10-E10</f>
        <v>0</v>
      </c>
      <c r="Q10" s="30" t="n">
        <f aca="false">COUNTIFS(Шоты!$B$2:$B$500,A10,Шоты!$M$2:$M$500,"Готово")</f>
        <v>0</v>
      </c>
      <c r="R10" s="31" t="n">
        <f aca="false">IFERROR(Q10/(N10-COUNTIFS(Шоты!$B$2:$B$500,A10,Шоты!$M$2:$M$500,"Вырезано")),0)</f>
        <v>0</v>
      </c>
      <c r="S10" s="28" t="s">
        <v>27</v>
      </c>
      <c r="T10" s="28" t="s">
        <v>108</v>
      </c>
      <c r="U10" s="28"/>
      <c r="V10" s="32"/>
      <c r="W10" s="28"/>
    </row>
    <row r="11" customFormat="false" ht="23.85" hidden="false" customHeight="false" outlineLevel="0" collapsed="false">
      <c r="A11" s="27" t="n">
        <v>10</v>
      </c>
      <c r="B11" s="28" t="s">
        <v>162</v>
      </c>
      <c r="C11" s="28" t="s">
        <v>163</v>
      </c>
      <c r="D11" s="28" t="s">
        <v>164</v>
      </c>
      <c r="E11" s="27" t="n">
        <v>30</v>
      </c>
      <c r="F11" s="29" t="n">
        <f aca="false">G10</f>
        <v>0.003125</v>
      </c>
      <c r="G11" s="29" t="n">
        <f aca="false">F11+E11/86400</f>
        <v>0.00347222222222222</v>
      </c>
      <c r="H11" s="28" t="s">
        <v>165</v>
      </c>
      <c r="I11" s="28" t="s">
        <v>166</v>
      </c>
      <c r="J11" s="28" t="s">
        <v>167</v>
      </c>
      <c r="K11" s="27" t="n">
        <v>4</v>
      </c>
      <c r="L11" s="28" t="s">
        <v>168</v>
      </c>
      <c r="M11" s="28" t="s">
        <v>169</v>
      </c>
      <c r="N11" s="30" t="n">
        <f aca="false">COUNTIF(Шоты!$B$2:$B$500,A11)</f>
        <v>6</v>
      </c>
      <c r="O11" s="30" t="n">
        <f aca="false">SUMIFS(Шоты!$F$2:$F$500,Шоты!$B$2:$B$500,A11,Шоты!$M$2:$M$500,"&lt;&gt;Вырезано")</f>
        <v>30</v>
      </c>
      <c r="P11" s="30" t="n">
        <f aca="false">O11-E11</f>
        <v>0</v>
      </c>
      <c r="Q11" s="30" t="n">
        <f aca="false">COUNTIFS(Шоты!$B$2:$B$500,A11,Шоты!$M$2:$M$500,"Готово")</f>
        <v>0</v>
      </c>
      <c r="R11" s="31" t="n">
        <f aca="false">IFERROR(Q11/(N11-COUNTIFS(Шоты!$B$2:$B$500,A11,Шоты!$M$2:$M$500,"Вырезано")),0)</f>
        <v>0</v>
      </c>
      <c r="S11" s="28" t="s">
        <v>27</v>
      </c>
      <c r="T11" s="28" t="s">
        <v>108</v>
      </c>
      <c r="U11" s="28"/>
      <c r="V11" s="32"/>
      <c r="W11" s="28"/>
    </row>
    <row r="12" customFormat="false" ht="23.85" hidden="false" customHeight="false" outlineLevel="0" collapsed="false">
      <c r="A12" s="27" t="n">
        <v>11</v>
      </c>
      <c r="B12" s="28" t="s">
        <v>170</v>
      </c>
      <c r="C12" s="28" t="s">
        <v>163</v>
      </c>
      <c r="D12" s="28" t="s">
        <v>111</v>
      </c>
      <c r="E12" s="27" t="n">
        <v>40</v>
      </c>
      <c r="F12" s="29" t="n">
        <f aca="false">G11</f>
        <v>0.00347222222222222</v>
      </c>
      <c r="G12" s="29" t="n">
        <f aca="false">F12+E12/86400</f>
        <v>0.00393518518518519</v>
      </c>
      <c r="H12" s="28" t="s">
        <v>171</v>
      </c>
      <c r="I12" s="28" t="s">
        <v>172</v>
      </c>
      <c r="J12" s="28" t="s">
        <v>173</v>
      </c>
      <c r="K12" s="27" t="n">
        <v>5</v>
      </c>
      <c r="L12" s="28" t="s">
        <v>174</v>
      </c>
      <c r="M12" s="28" t="s">
        <v>175</v>
      </c>
      <c r="N12" s="30" t="n">
        <f aca="false">COUNTIF(Шоты!$B$2:$B$500,A12)</f>
        <v>7</v>
      </c>
      <c r="O12" s="30" t="n">
        <f aca="false">SUMIFS(Шоты!$F$2:$F$500,Шоты!$B$2:$B$500,A12,Шоты!$M$2:$M$500,"&lt;&gt;Вырезано")</f>
        <v>40</v>
      </c>
      <c r="P12" s="30" t="n">
        <f aca="false">O12-E12</f>
        <v>0</v>
      </c>
      <c r="Q12" s="30" t="n">
        <f aca="false">COUNTIFS(Шоты!$B$2:$B$500,A12,Шоты!$M$2:$M$500,"Готово")</f>
        <v>0</v>
      </c>
      <c r="R12" s="31" t="n">
        <f aca="false">IFERROR(Q12/(N12-COUNTIFS(Шоты!$B$2:$B$500,A12,Шоты!$M$2:$M$500,"Вырезано")),0)</f>
        <v>0</v>
      </c>
      <c r="S12" s="28" t="s">
        <v>27</v>
      </c>
      <c r="T12" s="28" t="s">
        <v>99</v>
      </c>
      <c r="U12" s="28"/>
      <c r="V12" s="32"/>
      <c r="W12" s="28"/>
    </row>
    <row r="13" customFormat="false" ht="23.85" hidden="false" customHeight="false" outlineLevel="0" collapsed="false">
      <c r="A13" s="27" t="n">
        <v>12</v>
      </c>
      <c r="B13" s="28" t="s">
        <v>176</v>
      </c>
      <c r="C13" s="28" t="s">
        <v>177</v>
      </c>
      <c r="D13" s="28" t="s">
        <v>93</v>
      </c>
      <c r="E13" s="27" t="n">
        <v>20</v>
      </c>
      <c r="F13" s="29" t="n">
        <f aca="false">G12</f>
        <v>0.00393518518518519</v>
      </c>
      <c r="G13" s="29" t="n">
        <f aca="false">F13+E13/86400</f>
        <v>0.00416666666666667</v>
      </c>
      <c r="H13" s="28" t="s">
        <v>178</v>
      </c>
      <c r="I13" s="28" t="s">
        <v>179</v>
      </c>
      <c r="J13" s="28" t="s">
        <v>180</v>
      </c>
      <c r="K13" s="27" t="n">
        <v>0</v>
      </c>
      <c r="L13" s="28" t="s">
        <v>181</v>
      </c>
      <c r="M13" s="28" t="s">
        <v>182</v>
      </c>
      <c r="N13" s="30" t="n">
        <f aca="false">COUNTIF(Шоты!$B$2:$B$500,A13)</f>
        <v>5</v>
      </c>
      <c r="O13" s="30" t="n">
        <f aca="false">SUMIFS(Шоты!$F$2:$F$500,Шоты!$B$2:$B$500,A13,Шоты!$M$2:$M$500,"&lt;&gt;Вырезано")</f>
        <v>20</v>
      </c>
      <c r="P13" s="30" t="n">
        <f aca="false">O13-E13</f>
        <v>0</v>
      </c>
      <c r="Q13" s="30" t="n">
        <f aca="false">COUNTIFS(Шоты!$B$2:$B$500,A13,Шоты!$M$2:$M$500,"Готово")</f>
        <v>0</v>
      </c>
      <c r="R13" s="31" t="n">
        <f aca="false">IFERROR(Q13/(N13-COUNTIFS(Шоты!$B$2:$B$500,A13,Шоты!$M$2:$M$500,"Вырезано")),0)</f>
        <v>0</v>
      </c>
      <c r="S13" s="28" t="s">
        <v>27</v>
      </c>
      <c r="T13" s="28" t="s">
        <v>99</v>
      </c>
      <c r="U13" s="28"/>
      <c r="V13" s="32"/>
      <c r="W13" s="28"/>
    </row>
    <row r="14" customFormat="false" ht="15" hidden="false" customHeight="false" outlineLevel="0" collapsed="false">
      <c r="V14" s="33"/>
    </row>
    <row r="15" customFormat="false" ht="15" hidden="false" customHeight="false" outlineLevel="0" collapsed="false">
      <c r="D15" s="34" t="s">
        <v>183</v>
      </c>
      <c r="E15" s="34" t="n">
        <f aca="false">SUM(E2:E13)</f>
        <v>360</v>
      </c>
      <c r="G15" s="35" t="n">
        <f aca="false">E15/86400</f>
        <v>0.00416666666666667</v>
      </c>
      <c r="N15" s="34" t="n">
        <f aca="false">SUM(N2:N13)</f>
        <v>69</v>
      </c>
      <c r="O15" s="34" t="n">
        <f aca="false">SUM(O2:O13)</f>
        <v>360</v>
      </c>
      <c r="V15" s="33"/>
    </row>
    <row r="16" customFormat="false" ht="15" hidden="false" customHeight="false" outlineLevel="0" collapsed="false">
      <c r="V16" s="33"/>
    </row>
    <row r="17" customFormat="false" ht="15" hidden="false" customHeight="false" outlineLevel="0" collapsed="false">
      <c r="V17" s="33"/>
    </row>
    <row r="18" customFormat="false" ht="15" hidden="false" customHeight="false" outlineLevel="0" collapsed="false">
      <c r="V18" s="33"/>
    </row>
    <row r="19" customFormat="false" ht="15" hidden="false" customHeight="false" outlineLevel="0" collapsed="false">
      <c r="V19" s="33"/>
    </row>
    <row r="20" customFormat="false" ht="15" hidden="false" customHeight="false" outlineLevel="0" collapsed="false">
      <c r="V20" s="33"/>
    </row>
    <row r="21" customFormat="false" ht="15" hidden="false" customHeight="false" outlineLevel="0" collapsed="false">
      <c r="V21" s="33"/>
    </row>
    <row r="22" customFormat="false" ht="15" hidden="false" customHeight="false" outlineLevel="0" collapsed="false">
      <c r="V22" s="33"/>
    </row>
    <row r="23" customFormat="false" ht="15" hidden="false" customHeight="false" outlineLevel="0" collapsed="false">
      <c r="V23" s="33"/>
    </row>
    <row r="24" customFormat="false" ht="15" hidden="false" customHeight="false" outlineLevel="0" collapsed="false">
      <c r="V24" s="33"/>
    </row>
    <row r="25" customFormat="false" ht="15" hidden="false" customHeight="false" outlineLevel="0" collapsed="false">
      <c r="V25" s="33"/>
    </row>
    <row r="26" customFormat="false" ht="15" hidden="false" customHeight="false" outlineLevel="0" collapsed="false">
      <c r="V26" s="33"/>
    </row>
    <row r="27" customFormat="false" ht="15" hidden="false" customHeight="false" outlineLevel="0" collapsed="false">
      <c r="V27" s="33"/>
    </row>
    <row r="28" customFormat="false" ht="15" hidden="false" customHeight="false" outlineLevel="0" collapsed="false">
      <c r="V28" s="33"/>
    </row>
    <row r="29" customFormat="false" ht="15" hidden="false" customHeight="false" outlineLevel="0" collapsed="false">
      <c r="V29" s="33"/>
    </row>
    <row r="30" customFormat="false" ht="15" hidden="false" customHeight="false" outlineLevel="0" collapsed="false">
      <c r="V30" s="33"/>
    </row>
    <row r="31" customFormat="false" ht="15" hidden="false" customHeight="false" outlineLevel="0" collapsed="false">
      <c r="V31" s="33"/>
    </row>
    <row r="32" customFormat="false" ht="15" hidden="false" customHeight="false" outlineLevel="0" collapsed="false">
      <c r="V32" s="33"/>
    </row>
    <row r="33" customFormat="false" ht="15" hidden="false" customHeight="false" outlineLevel="0" collapsed="false">
      <c r="V33" s="33"/>
    </row>
    <row r="34" customFormat="false" ht="15" hidden="false" customHeight="false" outlineLevel="0" collapsed="false">
      <c r="V34" s="33"/>
    </row>
    <row r="35" customFormat="false" ht="15" hidden="false" customHeight="false" outlineLevel="0" collapsed="false">
      <c r="V35" s="33"/>
    </row>
    <row r="36" customFormat="false" ht="15" hidden="false" customHeight="false" outlineLevel="0" collapsed="false">
      <c r="V36" s="33"/>
    </row>
    <row r="37" customFormat="false" ht="15" hidden="false" customHeight="false" outlineLevel="0" collapsed="false">
      <c r="V37" s="33"/>
    </row>
    <row r="38" customFormat="false" ht="15" hidden="false" customHeight="false" outlineLevel="0" collapsed="false">
      <c r="V38" s="33"/>
    </row>
    <row r="39" customFormat="false" ht="15" hidden="false" customHeight="false" outlineLevel="0" collapsed="false">
      <c r="V39" s="33"/>
    </row>
    <row r="40" customFormat="false" ht="15" hidden="false" customHeight="false" outlineLevel="0" collapsed="false">
      <c r="V40" s="33"/>
    </row>
    <row r="41" customFormat="false" ht="15" hidden="false" customHeight="false" outlineLevel="0" collapsed="false">
      <c r="V41" s="33"/>
    </row>
    <row r="42" customFormat="false" ht="15" hidden="false" customHeight="false" outlineLevel="0" collapsed="false">
      <c r="V42" s="33"/>
    </row>
    <row r="43" customFormat="false" ht="15" hidden="false" customHeight="false" outlineLevel="0" collapsed="false">
      <c r="V43" s="33"/>
    </row>
    <row r="44" customFormat="false" ht="15" hidden="false" customHeight="false" outlineLevel="0" collapsed="false">
      <c r="V44" s="33"/>
    </row>
    <row r="45" customFormat="false" ht="15" hidden="false" customHeight="false" outlineLevel="0" collapsed="false">
      <c r="V45" s="33"/>
    </row>
    <row r="46" customFormat="false" ht="15" hidden="false" customHeight="false" outlineLevel="0" collapsed="false">
      <c r="V46" s="33"/>
    </row>
    <row r="47" customFormat="false" ht="15" hidden="false" customHeight="false" outlineLevel="0" collapsed="false">
      <c r="V47" s="33"/>
    </row>
    <row r="48" customFormat="false" ht="15" hidden="false" customHeight="false" outlineLevel="0" collapsed="false">
      <c r="V48" s="33"/>
    </row>
    <row r="49" customFormat="false" ht="15" hidden="false" customHeight="false" outlineLevel="0" collapsed="false">
      <c r="V49" s="33"/>
    </row>
    <row r="50" customFormat="false" ht="15" hidden="false" customHeight="false" outlineLevel="0" collapsed="false">
      <c r="V50" s="33"/>
    </row>
    <row r="51" customFormat="false" ht="15" hidden="false" customHeight="false" outlineLevel="0" collapsed="false">
      <c r="V51" s="33"/>
    </row>
    <row r="52" customFormat="false" ht="15" hidden="false" customHeight="false" outlineLevel="0" collapsed="false">
      <c r="V52" s="33"/>
    </row>
    <row r="53" customFormat="false" ht="15" hidden="false" customHeight="false" outlineLevel="0" collapsed="false">
      <c r="V53" s="33"/>
    </row>
    <row r="54" customFormat="false" ht="15" hidden="false" customHeight="false" outlineLevel="0" collapsed="false">
      <c r="V54" s="33"/>
    </row>
    <row r="55" customFormat="false" ht="15" hidden="false" customHeight="false" outlineLevel="0" collapsed="false">
      <c r="V55" s="33"/>
    </row>
    <row r="56" customFormat="false" ht="15" hidden="false" customHeight="false" outlineLevel="0" collapsed="false">
      <c r="V56" s="33"/>
    </row>
    <row r="57" customFormat="false" ht="15" hidden="false" customHeight="false" outlineLevel="0" collapsed="false">
      <c r="V57" s="33"/>
    </row>
    <row r="58" customFormat="false" ht="15" hidden="false" customHeight="false" outlineLevel="0" collapsed="false">
      <c r="V58" s="33"/>
    </row>
    <row r="59" customFormat="false" ht="15" hidden="false" customHeight="false" outlineLevel="0" collapsed="false">
      <c r="V59" s="33"/>
    </row>
    <row r="60" customFormat="false" ht="15" hidden="false" customHeight="false" outlineLevel="0" collapsed="false">
      <c r="V60" s="33"/>
    </row>
    <row r="61" customFormat="false" ht="15" hidden="false" customHeight="false" outlineLevel="0" collapsed="false">
      <c r="V61" s="33"/>
    </row>
    <row r="62" customFormat="false" ht="15" hidden="false" customHeight="false" outlineLevel="0" collapsed="false">
      <c r="V62" s="33"/>
    </row>
    <row r="63" customFormat="false" ht="15" hidden="false" customHeight="false" outlineLevel="0" collapsed="false">
      <c r="V63" s="33"/>
    </row>
    <row r="64" customFormat="false" ht="15" hidden="false" customHeight="false" outlineLevel="0" collapsed="false">
      <c r="V64" s="33"/>
    </row>
    <row r="65" customFormat="false" ht="15" hidden="false" customHeight="false" outlineLevel="0" collapsed="false">
      <c r="V65" s="33"/>
    </row>
    <row r="66" customFormat="false" ht="15" hidden="false" customHeight="false" outlineLevel="0" collapsed="false">
      <c r="V66" s="33"/>
    </row>
    <row r="67" customFormat="false" ht="15" hidden="false" customHeight="false" outlineLevel="0" collapsed="false">
      <c r="V67" s="33"/>
    </row>
    <row r="68" customFormat="false" ht="15" hidden="false" customHeight="false" outlineLevel="0" collapsed="false">
      <c r="V68" s="33"/>
    </row>
    <row r="69" customFormat="false" ht="15" hidden="false" customHeight="false" outlineLevel="0" collapsed="false">
      <c r="V69" s="33"/>
    </row>
    <row r="70" customFormat="false" ht="15" hidden="false" customHeight="false" outlineLevel="0" collapsed="false">
      <c r="V70" s="33"/>
    </row>
    <row r="71" customFormat="false" ht="15" hidden="false" customHeight="false" outlineLevel="0" collapsed="false">
      <c r="V71" s="33"/>
    </row>
    <row r="72" customFormat="false" ht="15" hidden="false" customHeight="false" outlineLevel="0" collapsed="false">
      <c r="V72" s="33"/>
    </row>
    <row r="73" customFormat="false" ht="15" hidden="false" customHeight="false" outlineLevel="0" collapsed="false">
      <c r="V73" s="33"/>
    </row>
    <row r="74" customFormat="false" ht="15" hidden="false" customHeight="false" outlineLevel="0" collapsed="false">
      <c r="V74" s="33"/>
    </row>
    <row r="75" customFormat="false" ht="15" hidden="false" customHeight="false" outlineLevel="0" collapsed="false">
      <c r="V75" s="33"/>
    </row>
    <row r="76" customFormat="false" ht="15" hidden="false" customHeight="false" outlineLevel="0" collapsed="false">
      <c r="V76" s="33"/>
    </row>
    <row r="77" customFormat="false" ht="15" hidden="false" customHeight="false" outlineLevel="0" collapsed="false">
      <c r="V77" s="33"/>
    </row>
    <row r="78" customFormat="false" ht="15" hidden="false" customHeight="false" outlineLevel="0" collapsed="false">
      <c r="V78" s="33"/>
    </row>
    <row r="79" customFormat="false" ht="15" hidden="false" customHeight="false" outlineLevel="0" collapsed="false">
      <c r="V79" s="33"/>
    </row>
    <row r="80" customFormat="false" ht="15" hidden="false" customHeight="false" outlineLevel="0" collapsed="false">
      <c r="V80" s="33"/>
    </row>
    <row r="81" customFormat="false" ht="15" hidden="false" customHeight="false" outlineLevel="0" collapsed="false">
      <c r="V81" s="33"/>
    </row>
    <row r="82" customFormat="false" ht="15" hidden="false" customHeight="false" outlineLevel="0" collapsed="false">
      <c r="V82" s="33"/>
    </row>
    <row r="83" customFormat="false" ht="15" hidden="false" customHeight="false" outlineLevel="0" collapsed="false">
      <c r="V83" s="33"/>
    </row>
    <row r="84" customFormat="false" ht="15" hidden="false" customHeight="false" outlineLevel="0" collapsed="false">
      <c r="V84" s="33"/>
    </row>
    <row r="85" customFormat="false" ht="15" hidden="false" customHeight="false" outlineLevel="0" collapsed="false">
      <c r="V85" s="33"/>
    </row>
    <row r="86" customFormat="false" ht="15" hidden="false" customHeight="false" outlineLevel="0" collapsed="false">
      <c r="V86" s="33"/>
    </row>
    <row r="87" customFormat="false" ht="15" hidden="false" customHeight="false" outlineLevel="0" collapsed="false">
      <c r="V87" s="33"/>
    </row>
    <row r="88" customFormat="false" ht="15" hidden="false" customHeight="false" outlineLevel="0" collapsed="false">
      <c r="V88" s="33"/>
    </row>
    <row r="89" customFormat="false" ht="15" hidden="false" customHeight="false" outlineLevel="0" collapsed="false">
      <c r="V89" s="33"/>
    </row>
    <row r="90" customFormat="false" ht="15" hidden="false" customHeight="false" outlineLevel="0" collapsed="false">
      <c r="V90" s="33"/>
    </row>
    <row r="91" customFormat="false" ht="15" hidden="false" customHeight="false" outlineLevel="0" collapsed="false">
      <c r="V91" s="33"/>
    </row>
    <row r="92" customFormat="false" ht="15" hidden="false" customHeight="false" outlineLevel="0" collapsed="false">
      <c r="V92" s="33"/>
    </row>
    <row r="93" customFormat="false" ht="15" hidden="false" customHeight="false" outlineLevel="0" collapsed="false">
      <c r="V93" s="33"/>
    </row>
    <row r="94" customFormat="false" ht="15" hidden="false" customHeight="false" outlineLevel="0" collapsed="false">
      <c r="V94" s="33"/>
    </row>
    <row r="95" customFormat="false" ht="15" hidden="false" customHeight="false" outlineLevel="0" collapsed="false">
      <c r="V95" s="33"/>
    </row>
    <row r="96" customFormat="false" ht="15" hidden="false" customHeight="false" outlineLevel="0" collapsed="false">
      <c r="V96" s="33"/>
    </row>
    <row r="97" customFormat="false" ht="15" hidden="false" customHeight="false" outlineLevel="0" collapsed="false">
      <c r="V97" s="33"/>
    </row>
    <row r="98" customFormat="false" ht="15" hidden="false" customHeight="false" outlineLevel="0" collapsed="false">
      <c r="V98" s="33"/>
    </row>
    <row r="99" customFormat="false" ht="15" hidden="false" customHeight="false" outlineLevel="0" collapsed="false">
      <c r="V99" s="33"/>
    </row>
    <row r="100" customFormat="false" ht="15" hidden="false" customHeight="false" outlineLevel="0" collapsed="false">
      <c r="V100" s="33"/>
    </row>
    <row r="101" customFormat="false" ht="15" hidden="false" customHeight="false" outlineLevel="0" collapsed="false">
      <c r="V101" s="33"/>
    </row>
    <row r="102" customFormat="false" ht="15" hidden="false" customHeight="false" outlineLevel="0" collapsed="false">
      <c r="V102" s="33"/>
    </row>
    <row r="103" customFormat="false" ht="15" hidden="false" customHeight="false" outlineLevel="0" collapsed="false">
      <c r="V103" s="33"/>
    </row>
    <row r="104" customFormat="false" ht="15" hidden="false" customHeight="false" outlineLevel="0" collapsed="false">
      <c r="V104" s="33"/>
    </row>
    <row r="105" customFormat="false" ht="15" hidden="false" customHeight="false" outlineLevel="0" collapsed="false">
      <c r="V105" s="33"/>
    </row>
    <row r="106" customFormat="false" ht="15" hidden="false" customHeight="false" outlineLevel="0" collapsed="false">
      <c r="V106" s="33"/>
    </row>
    <row r="107" customFormat="false" ht="15" hidden="false" customHeight="false" outlineLevel="0" collapsed="false">
      <c r="V107" s="33"/>
    </row>
    <row r="108" customFormat="false" ht="15" hidden="false" customHeight="false" outlineLevel="0" collapsed="false">
      <c r="V108" s="33"/>
    </row>
    <row r="109" customFormat="false" ht="15" hidden="false" customHeight="false" outlineLevel="0" collapsed="false">
      <c r="V109" s="33"/>
    </row>
    <row r="110" customFormat="false" ht="15" hidden="false" customHeight="false" outlineLevel="0" collapsed="false">
      <c r="V110" s="33"/>
    </row>
    <row r="111" customFormat="false" ht="15" hidden="false" customHeight="false" outlineLevel="0" collapsed="false">
      <c r="V111" s="33"/>
    </row>
    <row r="112" customFormat="false" ht="15" hidden="false" customHeight="false" outlineLevel="0" collapsed="false">
      <c r="V112" s="33"/>
    </row>
    <row r="113" customFormat="false" ht="15" hidden="false" customHeight="false" outlineLevel="0" collapsed="false">
      <c r="V113" s="33"/>
    </row>
    <row r="114" customFormat="false" ht="15" hidden="false" customHeight="false" outlineLevel="0" collapsed="false">
      <c r="V114" s="33"/>
    </row>
    <row r="115" customFormat="false" ht="15" hidden="false" customHeight="false" outlineLevel="0" collapsed="false">
      <c r="V115" s="33"/>
    </row>
    <row r="116" customFormat="false" ht="15" hidden="false" customHeight="false" outlineLevel="0" collapsed="false">
      <c r="V116" s="33"/>
    </row>
    <row r="117" customFormat="false" ht="15" hidden="false" customHeight="false" outlineLevel="0" collapsed="false">
      <c r="V117" s="33"/>
    </row>
    <row r="118" customFormat="false" ht="15" hidden="false" customHeight="false" outlineLevel="0" collapsed="false">
      <c r="V118" s="33"/>
    </row>
    <row r="119" customFormat="false" ht="15" hidden="false" customHeight="false" outlineLevel="0" collapsed="false">
      <c r="V119" s="33"/>
    </row>
    <row r="120" customFormat="false" ht="15" hidden="false" customHeight="false" outlineLevel="0" collapsed="false">
      <c r="V120" s="33"/>
    </row>
    <row r="121" customFormat="false" ht="15" hidden="false" customHeight="false" outlineLevel="0" collapsed="false">
      <c r="V121" s="33"/>
    </row>
    <row r="122" customFormat="false" ht="15" hidden="false" customHeight="false" outlineLevel="0" collapsed="false">
      <c r="V122" s="33"/>
    </row>
    <row r="123" customFormat="false" ht="15" hidden="false" customHeight="false" outlineLevel="0" collapsed="false">
      <c r="V123" s="33"/>
    </row>
    <row r="124" customFormat="false" ht="15" hidden="false" customHeight="false" outlineLevel="0" collapsed="false">
      <c r="V124" s="33"/>
    </row>
    <row r="125" customFormat="false" ht="15" hidden="false" customHeight="false" outlineLevel="0" collapsed="false">
      <c r="V125" s="33"/>
    </row>
    <row r="126" customFormat="false" ht="15" hidden="false" customHeight="false" outlineLevel="0" collapsed="false">
      <c r="V126" s="33"/>
    </row>
    <row r="127" customFormat="false" ht="15" hidden="false" customHeight="false" outlineLevel="0" collapsed="false">
      <c r="V127" s="33"/>
    </row>
    <row r="128" customFormat="false" ht="15" hidden="false" customHeight="false" outlineLevel="0" collapsed="false">
      <c r="V128" s="33"/>
    </row>
    <row r="129" customFormat="false" ht="15" hidden="false" customHeight="false" outlineLevel="0" collapsed="false">
      <c r="V129" s="33"/>
    </row>
    <row r="130" customFormat="false" ht="15" hidden="false" customHeight="false" outlineLevel="0" collapsed="false">
      <c r="V130" s="33"/>
    </row>
    <row r="131" customFormat="false" ht="15" hidden="false" customHeight="false" outlineLevel="0" collapsed="false">
      <c r="V131" s="33"/>
    </row>
    <row r="132" customFormat="false" ht="15" hidden="false" customHeight="false" outlineLevel="0" collapsed="false">
      <c r="V132" s="33"/>
    </row>
    <row r="133" customFormat="false" ht="15" hidden="false" customHeight="false" outlineLevel="0" collapsed="false">
      <c r="V133" s="33"/>
    </row>
    <row r="134" customFormat="false" ht="15" hidden="false" customHeight="false" outlineLevel="0" collapsed="false">
      <c r="V134" s="33"/>
    </row>
    <row r="135" customFormat="false" ht="15" hidden="false" customHeight="false" outlineLevel="0" collapsed="false">
      <c r="V135" s="33"/>
    </row>
    <row r="136" customFormat="false" ht="15" hidden="false" customHeight="false" outlineLevel="0" collapsed="false">
      <c r="V136" s="33"/>
    </row>
    <row r="137" customFormat="false" ht="15" hidden="false" customHeight="false" outlineLevel="0" collapsed="false">
      <c r="V137" s="33"/>
    </row>
    <row r="138" customFormat="false" ht="15" hidden="false" customHeight="false" outlineLevel="0" collapsed="false">
      <c r="V138" s="33"/>
    </row>
    <row r="139" customFormat="false" ht="15" hidden="false" customHeight="false" outlineLevel="0" collapsed="false">
      <c r="V139" s="33"/>
    </row>
    <row r="140" customFormat="false" ht="15" hidden="false" customHeight="false" outlineLevel="0" collapsed="false">
      <c r="V140" s="33"/>
    </row>
    <row r="141" customFormat="false" ht="15" hidden="false" customHeight="false" outlineLevel="0" collapsed="false">
      <c r="V141" s="33"/>
    </row>
    <row r="142" customFormat="false" ht="15" hidden="false" customHeight="false" outlineLevel="0" collapsed="false">
      <c r="V142" s="33"/>
    </row>
    <row r="143" customFormat="false" ht="15" hidden="false" customHeight="false" outlineLevel="0" collapsed="false">
      <c r="V143" s="33"/>
    </row>
    <row r="144" customFormat="false" ht="15" hidden="false" customHeight="false" outlineLevel="0" collapsed="false">
      <c r="V144" s="33"/>
    </row>
    <row r="145" customFormat="false" ht="15" hidden="false" customHeight="false" outlineLevel="0" collapsed="false">
      <c r="V145" s="33"/>
    </row>
    <row r="146" customFormat="false" ht="15" hidden="false" customHeight="false" outlineLevel="0" collapsed="false">
      <c r="V146" s="33"/>
    </row>
    <row r="147" customFormat="false" ht="15" hidden="false" customHeight="false" outlineLevel="0" collapsed="false">
      <c r="V147" s="33"/>
    </row>
    <row r="148" customFormat="false" ht="15" hidden="false" customHeight="false" outlineLevel="0" collapsed="false">
      <c r="V148" s="33"/>
    </row>
    <row r="149" customFormat="false" ht="15" hidden="false" customHeight="false" outlineLevel="0" collapsed="false">
      <c r="V149" s="33"/>
    </row>
    <row r="150" customFormat="false" ht="15" hidden="false" customHeight="false" outlineLevel="0" collapsed="false">
      <c r="V150" s="33"/>
    </row>
    <row r="151" customFormat="false" ht="15" hidden="false" customHeight="false" outlineLevel="0" collapsed="false">
      <c r="V151" s="33"/>
    </row>
    <row r="152" customFormat="false" ht="15" hidden="false" customHeight="false" outlineLevel="0" collapsed="false">
      <c r="V152" s="33"/>
    </row>
    <row r="153" customFormat="false" ht="15" hidden="false" customHeight="false" outlineLevel="0" collapsed="false">
      <c r="V153" s="33"/>
    </row>
    <row r="154" customFormat="false" ht="15" hidden="false" customHeight="false" outlineLevel="0" collapsed="false">
      <c r="V154" s="33"/>
    </row>
    <row r="155" customFormat="false" ht="15" hidden="false" customHeight="false" outlineLevel="0" collapsed="false">
      <c r="V155" s="33"/>
    </row>
    <row r="156" customFormat="false" ht="15" hidden="false" customHeight="false" outlineLevel="0" collapsed="false">
      <c r="V156" s="33"/>
    </row>
    <row r="157" customFormat="false" ht="15" hidden="false" customHeight="false" outlineLevel="0" collapsed="false">
      <c r="V157" s="33"/>
    </row>
    <row r="158" customFormat="false" ht="15" hidden="false" customHeight="false" outlineLevel="0" collapsed="false">
      <c r="V158" s="33"/>
    </row>
    <row r="159" customFormat="false" ht="15" hidden="false" customHeight="false" outlineLevel="0" collapsed="false">
      <c r="V159" s="33"/>
    </row>
    <row r="160" customFormat="false" ht="15" hidden="false" customHeight="false" outlineLevel="0" collapsed="false">
      <c r="V160" s="33"/>
    </row>
    <row r="161" customFormat="false" ht="15" hidden="false" customHeight="false" outlineLevel="0" collapsed="false">
      <c r="V161" s="33"/>
    </row>
    <row r="162" customFormat="false" ht="15" hidden="false" customHeight="false" outlineLevel="0" collapsed="false">
      <c r="V162" s="33"/>
    </row>
    <row r="163" customFormat="false" ht="15" hidden="false" customHeight="false" outlineLevel="0" collapsed="false">
      <c r="V163" s="33"/>
    </row>
    <row r="164" customFormat="false" ht="15" hidden="false" customHeight="false" outlineLevel="0" collapsed="false">
      <c r="V164" s="33"/>
    </row>
    <row r="165" customFormat="false" ht="15" hidden="false" customHeight="false" outlineLevel="0" collapsed="false">
      <c r="V165" s="33"/>
    </row>
    <row r="166" customFormat="false" ht="15" hidden="false" customHeight="false" outlineLevel="0" collapsed="false">
      <c r="V166" s="33"/>
    </row>
    <row r="167" customFormat="false" ht="15" hidden="false" customHeight="false" outlineLevel="0" collapsed="false">
      <c r="V167" s="33"/>
    </row>
    <row r="168" customFormat="false" ht="15" hidden="false" customHeight="false" outlineLevel="0" collapsed="false">
      <c r="V168" s="33"/>
    </row>
    <row r="169" customFormat="false" ht="15" hidden="false" customHeight="false" outlineLevel="0" collapsed="false">
      <c r="V169" s="33"/>
    </row>
    <row r="170" customFormat="false" ht="15" hidden="false" customHeight="false" outlineLevel="0" collapsed="false">
      <c r="V170" s="33"/>
    </row>
    <row r="171" customFormat="false" ht="15" hidden="false" customHeight="false" outlineLevel="0" collapsed="false">
      <c r="V171" s="33"/>
    </row>
    <row r="172" customFormat="false" ht="15" hidden="false" customHeight="false" outlineLevel="0" collapsed="false">
      <c r="V172" s="33"/>
    </row>
    <row r="173" customFormat="false" ht="15" hidden="false" customHeight="false" outlineLevel="0" collapsed="false">
      <c r="V173" s="33"/>
    </row>
    <row r="174" customFormat="false" ht="15" hidden="false" customHeight="false" outlineLevel="0" collapsed="false">
      <c r="V174" s="33"/>
    </row>
    <row r="175" customFormat="false" ht="15" hidden="false" customHeight="false" outlineLevel="0" collapsed="false">
      <c r="V175" s="33"/>
    </row>
    <row r="176" customFormat="false" ht="15" hidden="false" customHeight="false" outlineLevel="0" collapsed="false">
      <c r="V176" s="33"/>
    </row>
    <row r="177" customFormat="false" ht="15" hidden="false" customHeight="false" outlineLevel="0" collapsed="false">
      <c r="V177" s="33"/>
    </row>
    <row r="178" customFormat="false" ht="15" hidden="false" customHeight="false" outlineLevel="0" collapsed="false">
      <c r="V178" s="33"/>
    </row>
    <row r="179" customFormat="false" ht="15" hidden="false" customHeight="false" outlineLevel="0" collapsed="false">
      <c r="V179" s="33"/>
    </row>
    <row r="180" customFormat="false" ht="15" hidden="false" customHeight="false" outlineLevel="0" collapsed="false">
      <c r="V180" s="33"/>
    </row>
    <row r="181" customFormat="false" ht="15" hidden="false" customHeight="false" outlineLevel="0" collapsed="false">
      <c r="V181" s="33"/>
    </row>
    <row r="182" customFormat="false" ht="15" hidden="false" customHeight="false" outlineLevel="0" collapsed="false">
      <c r="V182" s="33"/>
    </row>
    <row r="183" customFormat="false" ht="15" hidden="false" customHeight="false" outlineLevel="0" collapsed="false">
      <c r="V183" s="33"/>
    </row>
    <row r="184" customFormat="false" ht="15" hidden="false" customHeight="false" outlineLevel="0" collapsed="false">
      <c r="V184" s="33"/>
    </row>
    <row r="185" customFormat="false" ht="15" hidden="false" customHeight="false" outlineLevel="0" collapsed="false">
      <c r="V185" s="33"/>
    </row>
    <row r="186" customFormat="false" ht="15" hidden="false" customHeight="false" outlineLevel="0" collapsed="false">
      <c r="V186" s="33"/>
    </row>
    <row r="187" customFormat="false" ht="15" hidden="false" customHeight="false" outlineLevel="0" collapsed="false">
      <c r="V187" s="33"/>
    </row>
    <row r="188" customFormat="false" ht="15" hidden="false" customHeight="false" outlineLevel="0" collapsed="false">
      <c r="V188" s="33"/>
    </row>
    <row r="189" customFormat="false" ht="15" hidden="false" customHeight="false" outlineLevel="0" collapsed="false">
      <c r="V189" s="33"/>
    </row>
    <row r="190" customFormat="false" ht="15" hidden="false" customHeight="false" outlineLevel="0" collapsed="false">
      <c r="V190" s="33"/>
    </row>
    <row r="191" customFormat="false" ht="15" hidden="false" customHeight="false" outlineLevel="0" collapsed="false">
      <c r="V191" s="33"/>
    </row>
    <row r="192" customFormat="false" ht="15" hidden="false" customHeight="false" outlineLevel="0" collapsed="false">
      <c r="V192" s="33"/>
    </row>
    <row r="193" customFormat="false" ht="15" hidden="false" customHeight="false" outlineLevel="0" collapsed="false">
      <c r="V193" s="33"/>
    </row>
    <row r="194" customFormat="false" ht="15" hidden="false" customHeight="false" outlineLevel="0" collapsed="false">
      <c r="V194" s="33"/>
    </row>
    <row r="195" customFormat="false" ht="15" hidden="false" customHeight="false" outlineLevel="0" collapsed="false">
      <c r="V195" s="33"/>
    </row>
    <row r="196" customFormat="false" ht="15" hidden="false" customHeight="false" outlineLevel="0" collapsed="false">
      <c r="V196" s="33"/>
    </row>
    <row r="197" customFormat="false" ht="15" hidden="false" customHeight="false" outlineLevel="0" collapsed="false">
      <c r="V197" s="33"/>
    </row>
    <row r="198" customFormat="false" ht="15" hidden="false" customHeight="false" outlineLevel="0" collapsed="false">
      <c r="V198" s="33"/>
    </row>
    <row r="199" customFormat="false" ht="15" hidden="false" customHeight="false" outlineLevel="0" collapsed="false">
      <c r="V199" s="33"/>
    </row>
    <row r="200" customFormat="false" ht="15" hidden="false" customHeight="false" outlineLevel="0" collapsed="false">
      <c r="V200" s="33"/>
    </row>
    <row r="201" customFormat="false" ht="15" hidden="false" customHeight="false" outlineLevel="0" collapsed="false">
      <c r="V201" s="33"/>
    </row>
    <row r="202" customFormat="false" ht="15" hidden="false" customHeight="false" outlineLevel="0" collapsed="false">
      <c r="V202" s="33"/>
    </row>
    <row r="203" customFormat="false" ht="15" hidden="false" customHeight="false" outlineLevel="0" collapsed="false">
      <c r="V203" s="33"/>
    </row>
    <row r="204" customFormat="false" ht="15" hidden="false" customHeight="false" outlineLevel="0" collapsed="false">
      <c r="V204" s="33"/>
    </row>
    <row r="205" customFormat="false" ht="15" hidden="false" customHeight="false" outlineLevel="0" collapsed="false">
      <c r="V205" s="33"/>
    </row>
    <row r="206" customFormat="false" ht="15" hidden="false" customHeight="false" outlineLevel="0" collapsed="false">
      <c r="V206" s="33"/>
    </row>
    <row r="207" customFormat="false" ht="15" hidden="false" customHeight="false" outlineLevel="0" collapsed="false">
      <c r="V207" s="33"/>
    </row>
    <row r="208" customFormat="false" ht="15" hidden="false" customHeight="false" outlineLevel="0" collapsed="false">
      <c r="V208" s="33"/>
    </row>
    <row r="209" customFormat="false" ht="15" hidden="false" customHeight="false" outlineLevel="0" collapsed="false">
      <c r="V209" s="33"/>
    </row>
    <row r="210" customFormat="false" ht="15" hidden="false" customHeight="false" outlineLevel="0" collapsed="false">
      <c r="V210" s="33"/>
    </row>
    <row r="211" customFormat="false" ht="15" hidden="false" customHeight="false" outlineLevel="0" collapsed="false">
      <c r="V211" s="33"/>
    </row>
    <row r="212" customFormat="false" ht="15" hidden="false" customHeight="false" outlineLevel="0" collapsed="false">
      <c r="V212" s="33"/>
    </row>
    <row r="213" customFormat="false" ht="15" hidden="false" customHeight="false" outlineLevel="0" collapsed="false">
      <c r="V213" s="33"/>
    </row>
    <row r="214" customFormat="false" ht="15" hidden="false" customHeight="false" outlineLevel="0" collapsed="false">
      <c r="V214" s="33"/>
    </row>
    <row r="215" customFormat="false" ht="15" hidden="false" customHeight="false" outlineLevel="0" collapsed="false">
      <c r="V215" s="33"/>
    </row>
    <row r="216" customFormat="false" ht="15" hidden="false" customHeight="false" outlineLevel="0" collapsed="false">
      <c r="V216" s="33"/>
    </row>
    <row r="217" customFormat="false" ht="15" hidden="false" customHeight="false" outlineLevel="0" collapsed="false">
      <c r="V217" s="33"/>
    </row>
    <row r="218" customFormat="false" ht="15" hidden="false" customHeight="false" outlineLevel="0" collapsed="false">
      <c r="V218" s="33"/>
    </row>
    <row r="219" customFormat="false" ht="15" hidden="false" customHeight="false" outlineLevel="0" collapsed="false">
      <c r="V219" s="33"/>
    </row>
    <row r="220" customFormat="false" ht="15" hidden="false" customHeight="false" outlineLevel="0" collapsed="false">
      <c r="V220" s="33"/>
    </row>
    <row r="221" customFormat="false" ht="15" hidden="false" customHeight="false" outlineLevel="0" collapsed="false">
      <c r="V221" s="33"/>
    </row>
    <row r="222" customFormat="false" ht="15" hidden="false" customHeight="false" outlineLevel="0" collapsed="false">
      <c r="V222" s="33"/>
    </row>
    <row r="223" customFormat="false" ht="15" hidden="false" customHeight="false" outlineLevel="0" collapsed="false">
      <c r="V223" s="33"/>
    </row>
    <row r="224" customFormat="false" ht="15" hidden="false" customHeight="false" outlineLevel="0" collapsed="false">
      <c r="V224" s="33"/>
    </row>
    <row r="225" customFormat="false" ht="15" hidden="false" customHeight="false" outlineLevel="0" collapsed="false">
      <c r="V225" s="33"/>
    </row>
    <row r="226" customFormat="false" ht="15" hidden="false" customHeight="false" outlineLevel="0" collapsed="false">
      <c r="V226" s="33"/>
    </row>
    <row r="227" customFormat="false" ht="15" hidden="false" customHeight="false" outlineLevel="0" collapsed="false">
      <c r="V227" s="33"/>
    </row>
    <row r="228" customFormat="false" ht="15" hidden="false" customHeight="false" outlineLevel="0" collapsed="false">
      <c r="V228" s="33"/>
    </row>
    <row r="229" customFormat="false" ht="15" hidden="false" customHeight="false" outlineLevel="0" collapsed="false">
      <c r="V229" s="33"/>
    </row>
    <row r="230" customFormat="false" ht="15" hidden="false" customHeight="false" outlineLevel="0" collapsed="false">
      <c r="V230" s="33"/>
    </row>
    <row r="231" customFormat="false" ht="15" hidden="false" customHeight="false" outlineLevel="0" collapsed="false">
      <c r="V231" s="33"/>
    </row>
    <row r="232" customFormat="false" ht="15" hidden="false" customHeight="false" outlineLevel="0" collapsed="false">
      <c r="V232" s="33"/>
    </row>
    <row r="233" customFormat="false" ht="15" hidden="false" customHeight="false" outlineLevel="0" collapsed="false">
      <c r="V233" s="33"/>
    </row>
    <row r="234" customFormat="false" ht="15" hidden="false" customHeight="false" outlineLevel="0" collapsed="false">
      <c r="V234" s="33"/>
    </row>
    <row r="235" customFormat="false" ht="15" hidden="false" customHeight="false" outlineLevel="0" collapsed="false">
      <c r="V235" s="33"/>
    </row>
    <row r="236" customFormat="false" ht="15" hidden="false" customHeight="false" outlineLevel="0" collapsed="false">
      <c r="V236" s="33"/>
    </row>
    <row r="237" customFormat="false" ht="15" hidden="false" customHeight="false" outlineLevel="0" collapsed="false">
      <c r="V237" s="33"/>
    </row>
    <row r="238" customFormat="false" ht="15" hidden="false" customHeight="false" outlineLevel="0" collapsed="false">
      <c r="V238" s="33"/>
    </row>
    <row r="239" customFormat="false" ht="15" hidden="false" customHeight="false" outlineLevel="0" collapsed="false">
      <c r="V239" s="33"/>
    </row>
    <row r="240" customFormat="false" ht="15" hidden="false" customHeight="false" outlineLevel="0" collapsed="false">
      <c r="V240" s="33"/>
    </row>
    <row r="241" customFormat="false" ht="15" hidden="false" customHeight="false" outlineLevel="0" collapsed="false">
      <c r="V241" s="33"/>
    </row>
    <row r="242" customFormat="false" ht="15" hidden="false" customHeight="false" outlineLevel="0" collapsed="false">
      <c r="V242" s="33"/>
    </row>
    <row r="243" customFormat="false" ht="15" hidden="false" customHeight="false" outlineLevel="0" collapsed="false">
      <c r="V243" s="33"/>
    </row>
    <row r="244" customFormat="false" ht="15" hidden="false" customHeight="false" outlineLevel="0" collapsed="false">
      <c r="V244" s="33"/>
    </row>
    <row r="245" customFormat="false" ht="15" hidden="false" customHeight="false" outlineLevel="0" collapsed="false">
      <c r="V245" s="33"/>
    </row>
    <row r="246" customFormat="false" ht="15" hidden="false" customHeight="false" outlineLevel="0" collapsed="false">
      <c r="V246" s="33"/>
    </row>
    <row r="247" customFormat="false" ht="15" hidden="false" customHeight="false" outlineLevel="0" collapsed="false">
      <c r="V247" s="33"/>
    </row>
    <row r="248" customFormat="false" ht="15" hidden="false" customHeight="false" outlineLevel="0" collapsed="false">
      <c r="V248" s="33"/>
    </row>
    <row r="249" customFormat="false" ht="15" hidden="false" customHeight="false" outlineLevel="0" collapsed="false">
      <c r="V249" s="33"/>
    </row>
    <row r="250" customFormat="false" ht="15" hidden="false" customHeight="false" outlineLevel="0" collapsed="false">
      <c r="V250" s="33"/>
    </row>
    <row r="251" customFormat="false" ht="15" hidden="false" customHeight="false" outlineLevel="0" collapsed="false">
      <c r="V251" s="33"/>
    </row>
    <row r="252" customFormat="false" ht="15" hidden="false" customHeight="false" outlineLevel="0" collapsed="false">
      <c r="V252" s="33"/>
    </row>
    <row r="253" customFormat="false" ht="15" hidden="false" customHeight="false" outlineLevel="0" collapsed="false">
      <c r="V253" s="33"/>
    </row>
    <row r="254" customFormat="false" ht="15" hidden="false" customHeight="false" outlineLevel="0" collapsed="false">
      <c r="V254" s="33"/>
    </row>
    <row r="255" customFormat="false" ht="15" hidden="false" customHeight="false" outlineLevel="0" collapsed="false">
      <c r="V255" s="33"/>
    </row>
    <row r="256" customFormat="false" ht="15" hidden="false" customHeight="false" outlineLevel="0" collapsed="false">
      <c r="V256" s="33"/>
    </row>
    <row r="257" customFormat="false" ht="15" hidden="false" customHeight="false" outlineLevel="0" collapsed="false">
      <c r="V257" s="33"/>
    </row>
    <row r="258" customFormat="false" ht="15" hidden="false" customHeight="false" outlineLevel="0" collapsed="false">
      <c r="V258" s="33"/>
    </row>
    <row r="259" customFormat="false" ht="15" hidden="false" customHeight="false" outlineLevel="0" collapsed="false">
      <c r="V259" s="33"/>
    </row>
    <row r="260" customFormat="false" ht="15" hidden="false" customHeight="false" outlineLevel="0" collapsed="false">
      <c r="V260" s="33"/>
    </row>
    <row r="261" customFormat="false" ht="15" hidden="false" customHeight="false" outlineLevel="0" collapsed="false">
      <c r="V261" s="33"/>
    </row>
    <row r="262" customFormat="false" ht="15" hidden="false" customHeight="false" outlineLevel="0" collapsed="false">
      <c r="V262" s="33"/>
    </row>
    <row r="263" customFormat="false" ht="15" hidden="false" customHeight="false" outlineLevel="0" collapsed="false">
      <c r="V263" s="33"/>
    </row>
    <row r="264" customFormat="false" ht="15" hidden="false" customHeight="false" outlineLevel="0" collapsed="false">
      <c r="V264" s="33"/>
    </row>
    <row r="265" customFormat="false" ht="15" hidden="false" customHeight="false" outlineLevel="0" collapsed="false">
      <c r="V265" s="33"/>
    </row>
    <row r="266" customFormat="false" ht="15" hidden="false" customHeight="false" outlineLevel="0" collapsed="false">
      <c r="V266" s="33"/>
    </row>
    <row r="267" customFormat="false" ht="15" hidden="false" customHeight="false" outlineLevel="0" collapsed="false">
      <c r="V267" s="33"/>
    </row>
    <row r="268" customFormat="false" ht="15" hidden="false" customHeight="false" outlineLevel="0" collapsed="false">
      <c r="V268" s="33"/>
    </row>
    <row r="269" customFormat="false" ht="15" hidden="false" customHeight="false" outlineLevel="0" collapsed="false">
      <c r="V269" s="33"/>
    </row>
    <row r="270" customFormat="false" ht="15" hidden="false" customHeight="false" outlineLevel="0" collapsed="false">
      <c r="V270" s="33"/>
    </row>
    <row r="271" customFormat="false" ht="15" hidden="false" customHeight="false" outlineLevel="0" collapsed="false">
      <c r="V271" s="33"/>
    </row>
    <row r="272" customFormat="false" ht="15" hidden="false" customHeight="false" outlineLevel="0" collapsed="false">
      <c r="V272" s="33"/>
    </row>
    <row r="273" customFormat="false" ht="15" hidden="false" customHeight="false" outlineLevel="0" collapsed="false">
      <c r="V273" s="33"/>
    </row>
    <row r="274" customFormat="false" ht="15" hidden="false" customHeight="false" outlineLevel="0" collapsed="false">
      <c r="V274" s="33"/>
    </row>
    <row r="275" customFormat="false" ht="15" hidden="false" customHeight="false" outlineLevel="0" collapsed="false">
      <c r="V275" s="33"/>
    </row>
    <row r="276" customFormat="false" ht="15" hidden="false" customHeight="false" outlineLevel="0" collapsed="false">
      <c r="V276" s="33"/>
    </row>
    <row r="277" customFormat="false" ht="15" hidden="false" customHeight="false" outlineLevel="0" collapsed="false">
      <c r="V277" s="33"/>
    </row>
    <row r="278" customFormat="false" ht="15" hidden="false" customHeight="false" outlineLevel="0" collapsed="false">
      <c r="V278" s="33"/>
    </row>
    <row r="279" customFormat="false" ht="15" hidden="false" customHeight="false" outlineLevel="0" collapsed="false">
      <c r="V279" s="33"/>
    </row>
    <row r="280" customFormat="false" ht="15" hidden="false" customHeight="false" outlineLevel="0" collapsed="false">
      <c r="V280" s="33"/>
    </row>
    <row r="281" customFormat="false" ht="15" hidden="false" customHeight="false" outlineLevel="0" collapsed="false">
      <c r="V281" s="33"/>
    </row>
    <row r="282" customFormat="false" ht="15" hidden="false" customHeight="false" outlineLevel="0" collapsed="false">
      <c r="V282" s="33"/>
    </row>
    <row r="283" customFormat="false" ht="15" hidden="false" customHeight="false" outlineLevel="0" collapsed="false">
      <c r="V283" s="33"/>
    </row>
    <row r="284" customFormat="false" ht="15" hidden="false" customHeight="false" outlineLevel="0" collapsed="false">
      <c r="V284" s="33"/>
    </row>
    <row r="285" customFormat="false" ht="15" hidden="false" customHeight="false" outlineLevel="0" collapsed="false">
      <c r="V285" s="33"/>
    </row>
    <row r="286" customFormat="false" ht="15" hidden="false" customHeight="false" outlineLevel="0" collapsed="false">
      <c r="V286" s="33"/>
    </row>
    <row r="287" customFormat="false" ht="15" hidden="false" customHeight="false" outlineLevel="0" collapsed="false">
      <c r="V287" s="33"/>
    </row>
    <row r="288" customFormat="false" ht="15" hidden="false" customHeight="false" outlineLevel="0" collapsed="false">
      <c r="V288" s="33"/>
    </row>
    <row r="289" customFormat="false" ht="15" hidden="false" customHeight="false" outlineLevel="0" collapsed="false">
      <c r="V289" s="33"/>
    </row>
    <row r="290" customFormat="false" ht="15" hidden="false" customHeight="false" outlineLevel="0" collapsed="false">
      <c r="V290" s="33"/>
    </row>
    <row r="291" customFormat="false" ht="15" hidden="false" customHeight="false" outlineLevel="0" collapsed="false">
      <c r="V291" s="33"/>
    </row>
    <row r="292" customFormat="false" ht="15" hidden="false" customHeight="false" outlineLevel="0" collapsed="false">
      <c r="V292" s="33"/>
    </row>
    <row r="293" customFormat="false" ht="15" hidden="false" customHeight="false" outlineLevel="0" collapsed="false">
      <c r="V293" s="33"/>
    </row>
    <row r="294" customFormat="false" ht="15" hidden="false" customHeight="false" outlineLevel="0" collapsed="false">
      <c r="V294" s="33"/>
    </row>
    <row r="295" customFormat="false" ht="15" hidden="false" customHeight="false" outlineLevel="0" collapsed="false">
      <c r="V295" s="33"/>
    </row>
    <row r="296" customFormat="false" ht="15" hidden="false" customHeight="false" outlineLevel="0" collapsed="false">
      <c r="V296" s="33"/>
    </row>
    <row r="297" customFormat="false" ht="15" hidden="false" customHeight="false" outlineLevel="0" collapsed="false">
      <c r="V297" s="33"/>
    </row>
    <row r="298" customFormat="false" ht="15" hidden="false" customHeight="false" outlineLevel="0" collapsed="false">
      <c r="V298" s="33"/>
    </row>
    <row r="299" customFormat="false" ht="15" hidden="false" customHeight="false" outlineLevel="0" collapsed="false">
      <c r="V299" s="33"/>
    </row>
    <row r="300" customFormat="false" ht="15" hidden="false" customHeight="false" outlineLevel="0" collapsed="false">
      <c r="V300" s="33"/>
    </row>
    <row r="301" customFormat="false" ht="15" hidden="false" customHeight="false" outlineLevel="0" collapsed="false">
      <c r="V301" s="33"/>
    </row>
    <row r="302" customFormat="false" ht="15" hidden="false" customHeight="false" outlineLevel="0" collapsed="false">
      <c r="V302" s="33"/>
    </row>
    <row r="303" customFormat="false" ht="15" hidden="false" customHeight="false" outlineLevel="0" collapsed="false">
      <c r="V303" s="33"/>
    </row>
    <row r="304" customFormat="false" ht="15" hidden="false" customHeight="false" outlineLevel="0" collapsed="false">
      <c r="V304" s="33"/>
    </row>
    <row r="305" customFormat="false" ht="15" hidden="false" customHeight="false" outlineLevel="0" collapsed="false">
      <c r="V305" s="33"/>
    </row>
    <row r="306" customFormat="false" ht="15" hidden="false" customHeight="false" outlineLevel="0" collapsed="false">
      <c r="V306" s="33"/>
    </row>
    <row r="307" customFormat="false" ht="15" hidden="false" customHeight="false" outlineLevel="0" collapsed="false">
      <c r="V307" s="33"/>
    </row>
    <row r="308" customFormat="false" ht="15" hidden="false" customHeight="false" outlineLevel="0" collapsed="false">
      <c r="V308" s="33"/>
    </row>
    <row r="309" customFormat="false" ht="15" hidden="false" customHeight="false" outlineLevel="0" collapsed="false">
      <c r="V309" s="33"/>
    </row>
    <row r="310" customFormat="false" ht="15" hidden="false" customHeight="false" outlineLevel="0" collapsed="false">
      <c r="V310" s="33"/>
    </row>
    <row r="311" customFormat="false" ht="15" hidden="false" customHeight="false" outlineLevel="0" collapsed="false">
      <c r="V311" s="33"/>
    </row>
    <row r="312" customFormat="false" ht="15" hidden="false" customHeight="false" outlineLevel="0" collapsed="false">
      <c r="V312" s="33"/>
    </row>
    <row r="313" customFormat="false" ht="15" hidden="false" customHeight="false" outlineLevel="0" collapsed="false">
      <c r="V313" s="33"/>
    </row>
    <row r="314" customFormat="false" ht="15" hidden="false" customHeight="false" outlineLevel="0" collapsed="false">
      <c r="V314" s="33"/>
    </row>
    <row r="315" customFormat="false" ht="15" hidden="false" customHeight="false" outlineLevel="0" collapsed="false">
      <c r="V315" s="33"/>
    </row>
    <row r="316" customFormat="false" ht="15" hidden="false" customHeight="false" outlineLevel="0" collapsed="false">
      <c r="V316" s="33"/>
    </row>
    <row r="317" customFormat="false" ht="15" hidden="false" customHeight="false" outlineLevel="0" collapsed="false">
      <c r="V317" s="33"/>
    </row>
    <row r="318" customFormat="false" ht="15" hidden="false" customHeight="false" outlineLevel="0" collapsed="false">
      <c r="V318" s="33"/>
    </row>
    <row r="319" customFormat="false" ht="15" hidden="false" customHeight="false" outlineLevel="0" collapsed="false">
      <c r="V319" s="33"/>
    </row>
    <row r="320" customFormat="false" ht="15" hidden="false" customHeight="false" outlineLevel="0" collapsed="false">
      <c r="V320" s="33"/>
    </row>
    <row r="321" customFormat="false" ht="15" hidden="false" customHeight="false" outlineLevel="0" collapsed="false">
      <c r="V321" s="33"/>
    </row>
    <row r="322" customFormat="false" ht="15" hidden="false" customHeight="false" outlineLevel="0" collapsed="false">
      <c r="V322" s="33"/>
    </row>
    <row r="323" customFormat="false" ht="15" hidden="false" customHeight="false" outlineLevel="0" collapsed="false">
      <c r="V323" s="33"/>
    </row>
    <row r="324" customFormat="false" ht="15" hidden="false" customHeight="false" outlineLevel="0" collapsed="false">
      <c r="V324" s="33"/>
    </row>
    <row r="325" customFormat="false" ht="15" hidden="false" customHeight="false" outlineLevel="0" collapsed="false">
      <c r="V325" s="33"/>
    </row>
    <row r="326" customFormat="false" ht="15" hidden="false" customHeight="false" outlineLevel="0" collapsed="false">
      <c r="V326" s="33"/>
    </row>
    <row r="327" customFormat="false" ht="15" hidden="false" customHeight="false" outlineLevel="0" collapsed="false">
      <c r="V327" s="33"/>
    </row>
    <row r="328" customFormat="false" ht="15" hidden="false" customHeight="false" outlineLevel="0" collapsed="false">
      <c r="V328" s="33"/>
    </row>
    <row r="329" customFormat="false" ht="15" hidden="false" customHeight="false" outlineLevel="0" collapsed="false">
      <c r="V329" s="33"/>
    </row>
    <row r="330" customFormat="false" ht="15" hidden="false" customHeight="false" outlineLevel="0" collapsed="false">
      <c r="V330" s="33"/>
    </row>
    <row r="331" customFormat="false" ht="15" hidden="false" customHeight="false" outlineLevel="0" collapsed="false">
      <c r="V331" s="33"/>
    </row>
    <row r="332" customFormat="false" ht="15" hidden="false" customHeight="false" outlineLevel="0" collapsed="false">
      <c r="V332" s="33"/>
    </row>
    <row r="333" customFormat="false" ht="15" hidden="false" customHeight="false" outlineLevel="0" collapsed="false">
      <c r="V333" s="33"/>
    </row>
    <row r="334" customFormat="false" ht="15" hidden="false" customHeight="false" outlineLevel="0" collapsed="false">
      <c r="V334" s="33"/>
    </row>
    <row r="335" customFormat="false" ht="15" hidden="false" customHeight="false" outlineLevel="0" collapsed="false">
      <c r="V335" s="33"/>
    </row>
    <row r="336" customFormat="false" ht="15" hidden="false" customHeight="false" outlineLevel="0" collapsed="false">
      <c r="V336" s="33"/>
    </row>
    <row r="337" customFormat="false" ht="15" hidden="false" customHeight="false" outlineLevel="0" collapsed="false">
      <c r="V337" s="33"/>
    </row>
    <row r="338" customFormat="false" ht="15" hidden="false" customHeight="false" outlineLevel="0" collapsed="false">
      <c r="V338" s="33"/>
    </row>
    <row r="339" customFormat="false" ht="15" hidden="false" customHeight="false" outlineLevel="0" collapsed="false">
      <c r="V339" s="33"/>
    </row>
    <row r="340" customFormat="false" ht="15" hidden="false" customHeight="false" outlineLevel="0" collapsed="false">
      <c r="V340" s="33"/>
    </row>
    <row r="341" customFormat="false" ht="15" hidden="false" customHeight="false" outlineLevel="0" collapsed="false">
      <c r="V341" s="33"/>
    </row>
    <row r="342" customFormat="false" ht="15" hidden="false" customHeight="false" outlineLevel="0" collapsed="false">
      <c r="V342" s="33"/>
    </row>
    <row r="343" customFormat="false" ht="15" hidden="false" customHeight="false" outlineLevel="0" collapsed="false">
      <c r="V343" s="33"/>
    </row>
    <row r="344" customFormat="false" ht="15" hidden="false" customHeight="false" outlineLevel="0" collapsed="false">
      <c r="V344" s="33"/>
    </row>
    <row r="345" customFormat="false" ht="15" hidden="false" customHeight="false" outlineLevel="0" collapsed="false">
      <c r="V345" s="33"/>
    </row>
    <row r="346" customFormat="false" ht="15" hidden="false" customHeight="false" outlineLevel="0" collapsed="false">
      <c r="V346" s="33"/>
    </row>
    <row r="347" customFormat="false" ht="15" hidden="false" customHeight="false" outlineLevel="0" collapsed="false">
      <c r="V347" s="33"/>
    </row>
    <row r="348" customFormat="false" ht="15" hidden="false" customHeight="false" outlineLevel="0" collapsed="false">
      <c r="V348" s="33"/>
    </row>
    <row r="349" customFormat="false" ht="15" hidden="false" customHeight="false" outlineLevel="0" collapsed="false">
      <c r="V349" s="33"/>
    </row>
    <row r="350" customFormat="false" ht="15" hidden="false" customHeight="false" outlineLevel="0" collapsed="false">
      <c r="V350" s="33"/>
    </row>
    <row r="351" customFormat="false" ht="15" hidden="false" customHeight="false" outlineLevel="0" collapsed="false">
      <c r="V351" s="33"/>
    </row>
    <row r="352" customFormat="false" ht="15" hidden="false" customHeight="false" outlineLevel="0" collapsed="false">
      <c r="V352" s="33"/>
    </row>
    <row r="353" customFormat="false" ht="15" hidden="false" customHeight="false" outlineLevel="0" collapsed="false">
      <c r="V353" s="33"/>
    </row>
    <row r="354" customFormat="false" ht="15" hidden="false" customHeight="false" outlineLevel="0" collapsed="false">
      <c r="V354" s="33"/>
    </row>
    <row r="355" customFormat="false" ht="15" hidden="false" customHeight="false" outlineLevel="0" collapsed="false">
      <c r="V355" s="33"/>
    </row>
    <row r="356" customFormat="false" ht="15" hidden="false" customHeight="false" outlineLevel="0" collapsed="false">
      <c r="V356" s="33"/>
    </row>
    <row r="357" customFormat="false" ht="15" hidden="false" customHeight="false" outlineLevel="0" collapsed="false">
      <c r="V357" s="33"/>
    </row>
    <row r="358" customFormat="false" ht="15" hidden="false" customHeight="false" outlineLevel="0" collapsed="false">
      <c r="V358" s="33"/>
    </row>
    <row r="359" customFormat="false" ht="15" hidden="false" customHeight="false" outlineLevel="0" collapsed="false">
      <c r="V359" s="33"/>
    </row>
    <row r="360" customFormat="false" ht="15" hidden="false" customHeight="false" outlineLevel="0" collapsed="false">
      <c r="V360" s="33"/>
    </row>
    <row r="361" customFormat="false" ht="15" hidden="false" customHeight="false" outlineLevel="0" collapsed="false">
      <c r="V361" s="33"/>
    </row>
    <row r="362" customFormat="false" ht="15" hidden="false" customHeight="false" outlineLevel="0" collapsed="false">
      <c r="V362" s="33"/>
    </row>
    <row r="363" customFormat="false" ht="15" hidden="false" customHeight="false" outlineLevel="0" collapsed="false">
      <c r="V363" s="33"/>
    </row>
    <row r="364" customFormat="false" ht="15" hidden="false" customHeight="false" outlineLevel="0" collapsed="false">
      <c r="V364" s="33"/>
    </row>
    <row r="365" customFormat="false" ht="15" hidden="false" customHeight="false" outlineLevel="0" collapsed="false">
      <c r="V365" s="33"/>
    </row>
    <row r="366" customFormat="false" ht="15" hidden="false" customHeight="false" outlineLevel="0" collapsed="false">
      <c r="V366" s="33"/>
    </row>
    <row r="367" customFormat="false" ht="15" hidden="false" customHeight="false" outlineLevel="0" collapsed="false">
      <c r="V367" s="33"/>
    </row>
    <row r="368" customFormat="false" ht="15" hidden="false" customHeight="false" outlineLevel="0" collapsed="false">
      <c r="V368" s="33"/>
    </row>
    <row r="369" customFormat="false" ht="15" hidden="false" customHeight="false" outlineLevel="0" collapsed="false">
      <c r="V369" s="33"/>
    </row>
    <row r="370" customFormat="false" ht="15" hidden="false" customHeight="false" outlineLevel="0" collapsed="false">
      <c r="V370" s="33"/>
    </row>
    <row r="371" customFormat="false" ht="15" hidden="false" customHeight="false" outlineLevel="0" collapsed="false">
      <c r="V371" s="33"/>
    </row>
    <row r="372" customFormat="false" ht="15" hidden="false" customHeight="false" outlineLevel="0" collapsed="false">
      <c r="V372" s="33"/>
    </row>
    <row r="373" customFormat="false" ht="15" hidden="false" customHeight="false" outlineLevel="0" collapsed="false">
      <c r="V373" s="33"/>
    </row>
    <row r="374" customFormat="false" ht="15" hidden="false" customHeight="false" outlineLevel="0" collapsed="false">
      <c r="V374" s="33"/>
    </row>
    <row r="375" customFormat="false" ht="15" hidden="false" customHeight="false" outlineLevel="0" collapsed="false">
      <c r="V375" s="33"/>
    </row>
    <row r="376" customFormat="false" ht="15" hidden="false" customHeight="false" outlineLevel="0" collapsed="false">
      <c r="V376" s="33"/>
    </row>
    <row r="377" customFormat="false" ht="15" hidden="false" customHeight="false" outlineLevel="0" collapsed="false">
      <c r="V377" s="33"/>
    </row>
    <row r="378" customFormat="false" ht="15" hidden="false" customHeight="false" outlineLevel="0" collapsed="false">
      <c r="V378" s="33"/>
    </row>
    <row r="379" customFormat="false" ht="15" hidden="false" customHeight="false" outlineLevel="0" collapsed="false">
      <c r="V379" s="33"/>
    </row>
    <row r="380" customFormat="false" ht="15" hidden="false" customHeight="false" outlineLevel="0" collapsed="false">
      <c r="V380" s="33"/>
    </row>
    <row r="381" customFormat="false" ht="15" hidden="false" customHeight="false" outlineLevel="0" collapsed="false">
      <c r="V381" s="33"/>
    </row>
    <row r="382" customFormat="false" ht="15" hidden="false" customHeight="false" outlineLevel="0" collapsed="false">
      <c r="V382" s="33"/>
    </row>
    <row r="383" customFormat="false" ht="15" hidden="false" customHeight="false" outlineLevel="0" collapsed="false">
      <c r="V383" s="33"/>
    </row>
    <row r="384" customFormat="false" ht="15" hidden="false" customHeight="false" outlineLevel="0" collapsed="false">
      <c r="V384" s="33"/>
    </row>
    <row r="385" customFormat="false" ht="15" hidden="false" customHeight="false" outlineLevel="0" collapsed="false">
      <c r="V385" s="33"/>
    </row>
    <row r="386" customFormat="false" ht="15" hidden="false" customHeight="false" outlineLevel="0" collapsed="false">
      <c r="V386" s="33"/>
    </row>
    <row r="387" customFormat="false" ht="15" hidden="false" customHeight="false" outlineLevel="0" collapsed="false">
      <c r="V387" s="33"/>
    </row>
    <row r="388" customFormat="false" ht="15" hidden="false" customHeight="false" outlineLevel="0" collapsed="false">
      <c r="V388" s="33"/>
    </row>
    <row r="389" customFormat="false" ht="15" hidden="false" customHeight="false" outlineLevel="0" collapsed="false">
      <c r="V389" s="33"/>
    </row>
    <row r="390" customFormat="false" ht="15" hidden="false" customHeight="false" outlineLevel="0" collapsed="false">
      <c r="V390" s="33"/>
    </row>
    <row r="391" customFormat="false" ht="15" hidden="false" customHeight="false" outlineLevel="0" collapsed="false">
      <c r="V391" s="33"/>
    </row>
    <row r="392" customFormat="false" ht="15" hidden="false" customHeight="false" outlineLevel="0" collapsed="false">
      <c r="V392" s="33"/>
    </row>
    <row r="393" customFormat="false" ht="15" hidden="false" customHeight="false" outlineLevel="0" collapsed="false">
      <c r="V393" s="33"/>
    </row>
    <row r="394" customFormat="false" ht="15" hidden="false" customHeight="false" outlineLevel="0" collapsed="false">
      <c r="V394" s="33"/>
    </row>
    <row r="395" customFormat="false" ht="15" hidden="false" customHeight="false" outlineLevel="0" collapsed="false">
      <c r="V395" s="33"/>
    </row>
    <row r="396" customFormat="false" ht="15" hidden="false" customHeight="false" outlineLevel="0" collapsed="false">
      <c r="V396" s="33"/>
    </row>
    <row r="397" customFormat="false" ht="15" hidden="false" customHeight="false" outlineLevel="0" collapsed="false">
      <c r="V397" s="33"/>
    </row>
    <row r="398" customFormat="false" ht="15" hidden="false" customHeight="false" outlineLevel="0" collapsed="false">
      <c r="V398" s="33"/>
    </row>
    <row r="399" customFormat="false" ht="15" hidden="false" customHeight="false" outlineLevel="0" collapsed="false">
      <c r="V399" s="33"/>
    </row>
    <row r="400" customFormat="false" ht="15" hidden="false" customHeight="false" outlineLevel="0" collapsed="false">
      <c r="V400" s="33"/>
    </row>
    <row r="401" customFormat="false" ht="15" hidden="false" customHeight="false" outlineLevel="0" collapsed="false">
      <c r="V401" s="33"/>
    </row>
    <row r="402" customFormat="false" ht="15" hidden="false" customHeight="false" outlineLevel="0" collapsed="false">
      <c r="V402" s="33"/>
    </row>
    <row r="403" customFormat="false" ht="15" hidden="false" customHeight="false" outlineLevel="0" collapsed="false">
      <c r="V403" s="33"/>
    </row>
    <row r="404" customFormat="false" ht="15" hidden="false" customHeight="false" outlineLevel="0" collapsed="false">
      <c r="V404" s="33"/>
    </row>
    <row r="405" customFormat="false" ht="15" hidden="false" customHeight="false" outlineLevel="0" collapsed="false">
      <c r="V405" s="33"/>
    </row>
    <row r="406" customFormat="false" ht="15" hidden="false" customHeight="false" outlineLevel="0" collapsed="false">
      <c r="V406" s="33"/>
    </row>
    <row r="407" customFormat="false" ht="15" hidden="false" customHeight="false" outlineLevel="0" collapsed="false">
      <c r="V407" s="33"/>
    </row>
    <row r="408" customFormat="false" ht="15" hidden="false" customHeight="false" outlineLevel="0" collapsed="false">
      <c r="V408" s="33"/>
    </row>
    <row r="409" customFormat="false" ht="15" hidden="false" customHeight="false" outlineLevel="0" collapsed="false">
      <c r="V409" s="33"/>
    </row>
    <row r="410" customFormat="false" ht="15" hidden="false" customHeight="false" outlineLevel="0" collapsed="false">
      <c r="V410" s="33"/>
    </row>
    <row r="411" customFormat="false" ht="15" hidden="false" customHeight="false" outlineLevel="0" collapsed="false">
      <c r="V411" s="33"/>
    </row>
    <row r="412" customFormat="false" ht="15" hidden="false" customHeight="false" outlineLevel="0" collapsed="false">
      <c r="V412" s="33"/>
    </row>
    <row r="413" customFormat="false" ht="15" hidden="false" customHeight="false" outlineLevel="0" collapsed="false">
      <c r="V413" s="33"/>
    </row>
    <row r="414" customFormat="false" ht="15" hidden="false" customHeight="false" outlineLevel="0" collapsed="false">
      <c r="V414" s="33"/>
    </row>
    <row r="415" customFormat="false" ht="15" hidden="false" customHeight="false" outlineLevel="0" collapsed="false">
      <c r="V415" s="33"/>
    </row>
    <row r="416" customFormat="false" ht="15" hidden="false" customHeight="false" outlineLevel="0" collapsed="false">
      <c r="V416" s="33"/>
    </row>
    <row r="417" customFormat="false" ht="15" hidden="false" customHeight="false" outlineLevel="0" collapsed="false">
      <c r="V417" s="33"/>
    </row>
    <row r="418" customFormat="false" ht="15" hidden="false" customHeight="false" outlineLevel="0" collapsed="false">
      <c r="V418" s="33"/>
    </row>
    <row r="419" customFormat="false" ht="15" hidden="false" customHeight="false" outlineLevel="0" collapsed="false">
      <c r="V419" s="33"/>
    </row>
    <row r="420" customFormat="false" ht="15" hidden="false" customHeight="false" outlineLevel="0" collapsed="false">
      <c r="V420" s="33"/>
    </row>
    <row r="421" customFormat="false" ht="15" hidden="false" customHeight="false" outlineLevel="0" collapsed="false">
      <c r="V421" s="33"/>
    </row>
    <row r="422" customFormat="false" ht="15" hidden="false" customHeight="false" outlineLevel="0" collapsed="false">
      <c r="V422" s="33"/>
    </row>
    <row r="423" customFormat="false" ht="15" hidden="false" customHeight="false" outlineLevel="0" collapsed="false">
      <c r="V423" s="33"/>
    </row>
    <row r="424" customFormat="false" ht="15" hidden="false" customHeight="false" outlineLevel="0" collapsed="false">
      <c r="V424" s="33"/>
    </row>
    <row r="425" customFormat="false" ht="15" hidden="false" customHeight="false" outlineLevel="0" collapsed="false">
      <c r="V425" s="33"/>
    </row>
    <row r="426" customFormat="false" ht="15" hidden="false" customHeight="false" outlineLevel="0" collapsed="false">
      <c r="V426" s="33"/>
    </row>
    <row r="427" customFormat="false" ht="15" hidden="false" customHeight="false" outlineLevel="0" collapsed="false">
      <c r="V427" s="33"/>
    </row>
    <row r="428" customFormat="false" ht="15" hidden="false" customHeight="false" outlineLevel="0" collapsed="false">
      <c r="V428" s="33"/>
    </row>
    <row r="429" customFormat="false" ht="15" hidden="false" customHeight="false" outlineLevel="0" collapsed="false">
      <c r="V429" s="33"/>
    </row>
    <row r="430" customFormat="false" ht="15" hidden="false" customHeight="false" outlineLevel="0" collapsed="false">
      <c r="V430" s="33"/>
    </row>
    <row r="431" customFormat="false" ht="15" hidden="false" customHeight="false" outlineLevel="0" collapsed="false">
      <c r="V431" s="33"/>
    </row>
    <row r="432" customFormat="false" ht="15" hidden="false" customHeight="false" outlineLevel="0" collapsed="false">
      <c r="V432" s="33"/>
    </row>
    <row r="433" customFormat="false" ht="15" hidden="false" customHeight="false" outlineLevel="0" collapsed="false">
      <c r="V433" s="33"/>
    </row>
    <row r="434" customFormat="false" ht="15" hidden="false" customHeight="false" outlineLevel="0" collapsed="false">
      <c r="V434" s="33"/>
    </row>
    <row r="435" customFormat="false" ht="15" hidden="false" customHeight="false" outlineLevel="0" collapsed="false">
      <c r="V435" s="33"/>
    </row>
    <row r="436" customFormat="false" ht="15" hidden="false" customHeight="false" outlineLevel="0" collapsed="false">
      <c r="V436" s="33"/>
    </row>
    <row r="437" customFormat="false" ht="15" hidden="false" customHeight="false" outlineLevel="0" collapsed="false">
      <c r="V437" s="33"/>
    </row>
    <row r="438" customFormat="false" ht="15" hidden="false" customHeight="false" outlineLevel="0" collapsed="false">
      <c r="V438" s="33"/>
    </row>
    <row r="439" customFormat="false" ht="15" hidden="false" customHeight="false" outlineLevel="0" collapsed="false">
      <c r="V439" s="33"/>
    </row>
    <row r="440" customFormat="false" ht="15" hidden="false" customHeight="false" outlineLevel="0" collapsed="false">
      <c r="V440" s="33"/>
    </row>
    <row r="441" customFormat="false" ht="15" hidden="false" customHeight="false" outlineLevel="0" collapsed="false">
      <c r="V441" s="33"/>
    </row>
    <row r="442" customFormat="false" ht="15" hidden="false" customHeight="false" outlineLevel="0" collapsed="false">
      <c r="V442" s="33"/>
    </row>
    <row r="443" customFormat="false" ht="15" hidden="false" customHeight="false" outlineLevel="0" collapsed="false">
      <c r="V443" s="33"/>
    </row>
    <row r="444" customFormat="false" ht="15" hidden="false" customHeight="false" outlineLevel="0" collapsed="false">
      <c r="V444" s="33"/>
    </row>
    <row r="445" customFormat="false" ht="15" hidden="false" customHeight="false" outlineLevel="0" collapsed="false">
      <c r="V445" s="33"/>
    </row>
    <row r="446" customFormat="false" ht="15" hidden="false" customHeight="false" outlineLevel="0" collapsed="false">
      <c r="V446" s="33"/>
    </row>
    <row r="447" customFormat="false" ht="15" hidden="false" customHeight="false" outlineLevel="0" collapsed="false">
      <c r="V447" s="33"/>
    </row>
    <row r="448" customFormat="false" ht="15" hidden="false" customHeight="false" outlineLevel="0" collapsed="false">
      <c r="V448" s="33"/>
    </row>
    <row r="449" customFormat="false" ht="15" hidden="false" customHeight="false" outlineLevel="0" collapsed="false">
      <c r="V449" s="33"/>
    </row>
    <row r="450" customFormat="false" ht="15" hidden="false" customHeight="false" outlineLevel="0" collapsed="false">
      <c r="V450" s="33"/>
    </row>
    <row r="451" customFormat="false" ht="15" hidden="false" customHeight="false" outlineLevel="0" collapsed="false">
      <c r="V451" s="33"/>
    </row>
    <row r="452" customFormat="false" ht="15" hidden="false" customHeight="false" outlineLevel="0" collapsed="false">
      <c r="V452" s="33"/>
    </row>
    <row r="453" customFormat="false" ht="15" hidden="false" customHeight="false" outlineLevel="0" collapsed="false">
      <c r="V453" s="33"/>
    </row>
    <row r="454" customFormat="false" ht="15" hidden="false" customHeight="false" outlineLevel="0" collapsed="false">
      <c r="V454" s="33"/>
    </row>
    <row r="455" customFormat="false" ht="15" hidden="false" customHeight="false" outlineLevel="0" collapsed="false">
      <c r="V455" s="33"/>
    </row>
    <row r="456" customFormat="false" ht="15" hidden="false" customHeight="false" outlineLevel="0" collapsed="false">
      <c r="V456" s="33"/>
    </row>
    <row r="457" customFormat="false" ht="15" hidden="false" customHeight="false" outlineLevel="0" collapsed="false">
      <c r="V457" s="33"/>
    </row>
    <row r="458" customFormat="false" ht="15" hidden="false" customHeight="false" outlineLevel="0" collapsed="false">
      <c r="V458" s="33"/>
    </row>
    <row r="459" customFormat="false" ht="15" hidden="false" customHeight="false" outlineLevel="0" collapsed="false">
      <c r="V459" s="33"/>
    </row>
    <row r="460" customFormat="false" ht="15" hidden="false" customHeight="false" outlineLevel="0" collapsed="false">
      <c r="V460" s="33"/>
    </row>
    <row r="461" customFormat="false" ht="15" hidden="false" customHeight="false" outlineLevel="0" collapsed="false">
      <c r="V461" s="33"/>
    </row>
    <row r="462" customFormat="false" ht="15" hidden="false" customHeight="false" outlineLevel="0" collapsed="false">
      <c r="V462" s="33"/>
    </row>
    <row r="463" customFormat="false" ht="15" hidden="false" customHeight="false" outlineLevel="0" collapsed="false">
      <c r="V463" s="33"/>
    </row>
    <row r="464" customFormat="false" ht="15" hidden="false" customHeight="false" outlineLevel="0" collapsed="false">
      <c r="V464" s="33"/>
    </row>
    <row r="465" customFormat="false" ht="15" hidden="false" customHeight="false" outlineLevel="0" collapsed="false">
      <c r="V465" s="33"/>
    </row>
    <row r="466" customFormat="false" ht="15" hidden="false" customHeight="false" outlineLevel="0" collapsed="false">
      <c r="V466" s="33"/>
    </row>
    <row r="467" customFormat="false" ht="15" hidden="false" customHeight="false" outlineLevel="0" collapsed="false">
      <c r="V467" s="33"/>
    </row>
    <row r="468" customFormat="false" ht="15" hidden="false" customHeight="false" outlineLevel="0" collapsed="false">
      <c r="V468" s="33"/>
    </row>
    <row r="469" customFormat="false" ht="15" hidden="false" customHeight="false" outlineLevel="0" collapsed="false">
      <c r="V469" s="33"/>
    </row>
    <row r="470" customFormat="false" ht="15" hidden="false" customHeight="false" outlineLevel="0" collapsed="false">
      <c r="V470" s="33"/>
    </row>
    <row r="471" customFormat="false" ht="15" hidden="false" customHeight="false" outlineLevel="0" collapsed="false">
      <c r="V471" s="33"/>
    </row>
    <row r="472" customFormat="false" ht="15" hidden="false" customHeight="false" outlineLevel="0" collapsed="false">
      <c r="V472" s="33"/>
    </row>
    <row r="473" customFormat="false" ht="15" hidden="false" customHeight="false" outlineLevel="0" collapsed="false">
      <c r="V473" s="33"/>
    </row>
    <row r="474" customFormat="false" ht="15" hidden="false" customHeight="false" outlineLevel="0" collapsed="false">
      <c r="V474" s="33"/>
    </row>
    <row r="475" customFormat="false" ht="15" hidden="false" customHeight="false" outlineLevel="0" collapsed="false">
      <c r="V475" s="33"/>
    </row>
    <row r="476" customFormat="false" ht="15" hidden="false" customHeight="false" outlineLevel="0" collapsed="false">
      <c r="V476" s="33"/>
    </row>
    <row r="477" customFormat="false" ht="15" hidden="false" customHeight="false" outlineLevel="0" collapsed="false">
      <c r="V477" s="33"/>
    </row>
    <row r="478" customFormat="false" ht="15" hidden="false" customHeight="false" outlineLevel="0" collapsed="false">
      <c r="V478" s="33"/>
    </row>
    <row r="479" customFormat="false" ht="15" hidden="false" customHeight="false" outlineLevel="0" collapsed="false">
      <c r="V479" s="33"/>
    </row>
    <row r="480" customFormat="false" ht="15" hidden="false" customHeight="false" outlineLevel="0" collapsed="false">
      <c r="V480" s="33"/>
    </row>
    <row r="481" customFormat="false" ht="15" hidden="false" customHeight="false" outlineLevel="0" collapsed="false">
      <c r="V481" s="33"/>
    </row>
    <row r="482" customFormat="false" ht="15" hidden="false" customHeight="false" outlineLevel="0" collapsed="false">
      <c r="V482" s="33"/>
    </row>
    <row r="483" customFormat="false" ht="15" hidden="false" customHeight="false" outlineLevel="0" collapsed="false">
      <c r="V483" s="33"/>
    </row>
    <row r="484" customFormat="false" ht="15" hidden="false" customHeight="false" outlineLevel="0" collapsed="false">
      <c r="V484" s="33"/>
    </row>
    <row r="485" customFormat="false" ht="15" hidden="false" customHeight="false" outlineLevel="0" collapsed="false">
      <c r="V485" s="33"/>
    </row>
    <row r="486" customFormat="false" ht="15" hidden="false" customHeight="false" outlineLevel="0" collapsed="false">
      <c r="V486" s="33"/>
    </row>
    <row r="487" customFormat="false" ht="15" hidden="false" customHeight="false" outlineLevel="0" collapsed="false">
      <c r="V487" s="33"/>
    </row>
    <row r="488" customFormat="false" ht="15" hidden="false" customHeight="false" outlineLevel="0" collapsed="false">
      <c r="V488" s="33"/>
    </row>
    <row r="489" customFormat="false" ht="15" hidden="false" customHeight="false" outlineLevel="0" collapsed="false">
      <c r="V489" s="33"/>
    </row>
    <row r="490" customFormat="false" ht="15" hidden="false" customHeight="false" outlineLevel="0" collapsed="false">
      <c r="V490" s="33"/>
    </row>
    <row r="491" customFormat="false" ht="15" hidden="false" customHeight="false" outlineLevel="0" collapsed="false">
      <c r="V491" s="33"/>
    </row>
    <row r="492" customFormat="false" ht="15" hidden="false" customHeight="false" outlineLevel="0" collapsed="false">
      <c r="V492" s="33"/>
    </row>
    <row r="493" customFormat="false" ht="15" hidden="false" customHeight="false" outlineLevel="0" collapsed="false">
      <c r="V493" s="33"/>
    </row>
    <row r="494" customFormat="false" ht="15" hidden="false" customHeight="false" outlineLevel="0" collapsed="false">
      <c r="V494" s="33"/>
    </row>
    <row r="495" customFormat="false" ht="15" hidden="false" customHeight="false" outlineLevel="0" collapsed="false">
      <c r="V495" s="33"/>
    </row>
    <row r="496" customFormat="false" ht="15" hidden="false" customHeight="false" outlineLevel="0" collapsed="false">
      <c r="V496" s="33"/>
    </row>
    <row r="497" customFormat="false" ht="15" hidden="false" customHeight="false" outlineLevel="0" collapsed="false">
      <c r="V497" s="33"/>
    </row>
    <row r="498" customFormat="false" ht="15" hidden="false" customHeight="false" outlineLevel="0" collapsed="false">
      <c r="V498" s="33"/>
    </row>
    <row r="499" customFormat="false" ht="15" hidden="false" customHeight="false" outlineLevel="0" collapsed="false">
      <c r="V499" s="33"/>
    </row>
    <row r="500" customFormat="false" ht="15" hidden="false" customHeight="false" outlineLevel="0" collapsed="false">
      <c r="V500" s="33"/>
    </row>
  </sheetData>
  <autoFilter ref="A1:W500"/>
  <conditionalFormatting sqref="A2:W500">
    <cfRule type="expression" priority="2" aboveAverage="0" equalAverage="0" bottom="0" percent="0" rank="0" text="" dxfId="9">
      <formula>$S2="Вырезано"</formula>
    </cfRule>
    <cfRule type="expression" priority="3" aboveAverage="0" equalAverage="0" bottom="0" percent="0" rank="0" text="" dxfId="10">
      <formula>$S2="Готово"</formula>
    </cfRule>
    <cfRule type="expression" priority="4" aboveAverage="0" equalAverage="0" bottom="0" percent="0" rank="0" text="" dxfId="11">
      <formula>$S2="Доработать"</formula>
    </cfRule>
    <cfRule type="expression" priority="5" aboveAverage="0" equalAverage="0" bottom="0" percent="0" rank="0" text="" dxfId="12">
      <formula>$S2="На проверке"</formula>
    </cfRule>
    <cfRule type="expression" priority="6" aboveAverage="0" equalAverage="0" bottom="0" percent="0" rank="0" text="" dxfId="13">
      <formula>$S2="В работе"</formula>
    </cfRule>
    <cfRule type="expression" priority="7" aboveAverage="0" equalAverage="0" bottom="0" percent="0" rank="0" text="" dxfId="14">
      <formula>$S2="Не начато"</formula>
    </cfRule>
  </conditionalFormatting>
  <conditionalFormatting sqref="T2:T500">
    <cfRule type="cellIs" priority="8" operator="equal" aboveAverage="0" equalAverage="0" bottom="0" percent="0" rank="0" text="" dxfId="15">
      <formula>"Высокий"</formula>
    </cfRule>
  </conditionalFormatting>
  <conditionalFormatting sqref="V2:V500">
    <cfRule type="expression" priority="9" aboveAverage="0" equalAverage="0" bottom="0" percent="0" rank="0" text="" dxfId="16">
      <formula>AND($V2&lt;&gt;"",$V2&lt;TODAY(),$S2&lt;&gt;"Готово",$S2&lt;&gt;"Вырезано")</formula>
    </cfRule>
    <cfRule type="expression" priority="10" aboveAverage="0" equalAverage="0" bottom="0" percent="0" rank="0" text="" dxfId="17">
      <formula>AND($V2&lt;&gt;"",$V2-TODAY()&lt;=2,$S2&lt;&gt;"Готово",$S2&lt;&gt;"Вырезано")</formula>
    </cfRule>
  </conditionalFormatting>
  <conditionalFormatting sqref="P2:P13">
    <cfRule type="expression" priority="11" aboveAverage="0" equalAverage="0" bottom="0" percent="0" rank="0" text="" dxfId="18">
      <formula>ABS(P2)&gt;2</formula>
    </cfRule>
  </conditionalFormatting>
  <conditionalFormatting sqref="R2:R13">
    <cfRule type="dataBar" priority="1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{F3E0DA8D-1036-4AE6-9EC0-BAA053E6ACB8}</x14:id>
        </ext>
      </extLst>
    </cfRule>
  </conditionalFormatting>
  <dataValidations count="3">
    <dataValidation allowBlank="true" error="Выберите значение из списка" errorStyle="stop" errorTitle="Статус" operator="between" prompt="Выберите из списка" promptTitle="Статус" showDropDown="false" showErrorMessage="false" showInputMessage="false" sqref="S2:S500" type="list">
      <formula1>Справочник!$A$2:$A$7</formula1>
      <formula2>0</formula2>
    </dataValidation>
    <dataValidation allowBlank="true" error="Выберите значение из списка" errorStyle="stop" errorTitle="Приоритет" operator="between" prompt="Выберите из списка" promptTitle="Приоритет" showDropDown="false" showErrorMessage="false" showInputMessage="false" sqref="T2:T500" type="list">
      <formula1>Справочник!$B$2:$B$4</formula1>
      <formula2>0</formula2>
    </dataValidation>
    <dataValidation allowBlank="true" error="Введите дату в формате ДД.ММ.ГГГГ" errorStyle="stop" operator="greaterThan" showDropDown="false" showErrorMessage="false" showInputMessage="false" sqref="V2:V500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E0DA8D-1036-4AE6-9EC0-BAA053E6ACB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R2:R13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Q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20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30"/>
  </cols>
  <sheetData>
    <row r="1" customFormat="false" ht="33.75" hidden="false" customHeight="true" outlineLevel="0" collapsed="false">
      <c r="A1" s="25" t="s">
        <v>184</v>
      </c>
      <c r="B1" s="25" t="s">
        <v>70</v>
      </c>
      <c r="C1" s="25" t="s">
        <v>185</v>
      </c>
      <c r="D1" s="25" t="s">
        <v>186</v>
      </c>
      <c r="E1" s="25" t="s">
        <v>187</v>
      </c>
      <c r="F1" s="25" t="s">
        <v>188</v>
      </c>
      <c r="G1" s="25" t="s">
        <v>189</v>
      </c>
      <c r="H1" s="25" t="s">
        <v>190</v>
      </c>
      <c r="I1" s="25" t="s">
        <v>191</v>
      </c>
      <c r="J1" s="25" t="s">
        <v>41</v>
      </c>
      <c r="K1" s="25" t="s">
        <v>192</v>
      </c>
      <c r="L1" s="25" t="s">
        <v>193</v>
      </c>
      <c r="M1" s="25" t="s">
        <v>86</v>
      </c>
      <c r="N1" s="25" t="s">
        <v>87</v>
      </c>
      <c r="O1" s="25" t="s">
        <v>88</v>
      </c>
      <c r="P1" s="25" t="s">
        <v>89</v>
      </c>
      <c r="Q1" s="25" t="s">
        <v>90</v>
      </c>
    </row>
    <row r="2" customFormat="false" ht="23.85" hidden="false" customHeight="false" outlineLevel="0" collapsed="false">
      <c r="A2" s="36" t="s">
        <v>194</v>
      </c>
      <c r="B2" s="37" t="n">
        <v>1</v>
      </c>
      <c r="C2" s="28" t="s">
        <v>195</v>
      </c>
      <c r="D2" s="37" t="s">
        <v>196</v>
      </c>
      <c r="E2" s="28" t="s">
        <v>197</v>
      </c>
      <c r="F2" s="37" t="n">
        <v>6</v>
      </c>
      <c r="G2" s="28" t="s">
        <v>198</v>
      </c>
      <c r="H2" s="28" t="s">
        <v>199</v>
      </c>
      <c r="I2" s="37" t="s">
        <v>200</v>
      </c>
      <c r="J2" s="37" t="s">
        <v>44</v>
      </c>
      <c r="K2" s="37"/>
      <c r="L2" s="28"/>
      <c r="M2" s="37" t="s">
        <v>27</v>
      </c>
      <c r="N2" s="37" t="s">
        <v>99</v>
      </c>
      <c r="O2" s="28"/>
      <c r="P2" s="32"/>
      <c r="Q2" s="28"/>
    </row>
    <row r="3" customFormat="false" ht="23.85" hidden="false" customHeight="false" outlineLevel="0" collapsed="false">
      <c r="A3" s="36" t="s">
        <v>201</v>
      </c>
      <c r="B3" s="37" t="n">
        <v>1</v>
      </c>
      <c r="C3" s="28" t="s">
        <v>202</v>
      </c>
      <c r="D3" s="37" t="s">
        <v>108</v>
      </c>
      <c r="E3" s="28" t="s">
        <v>203</v>
      </c>
      <c r="F3" s="37" t="n">
        <v>3</v>
      </c>
      <c r="G3" s="28" t="s">
        <v>204</v>
      </c>
      <c r="H3" s="28" t="s">
        <v>205</v>
      </c>
      <c r="I3" s="37" t="s">
        <v>200</v>
      </c>
      <c r="J3" s="37" t="s">
        <v>44</v>
      </c>
      <c r="K3" s="37"/>
      <c r="L3" s="28"/>
      <c r="M3" s="37" t="s">
        <v>27</v>
      </c>
      <c r="N3" s="37" t="s">
        <v>99</v>
      </c>
      <c r="O3" s="28"/>
      <c r="P3" s="32"/>
      <c r="Q3" s="28"/>
    </row>
    <row r="4" customFormat="false" ht="15" hidden="false" customHeight="false" outlineLevel="0" collapsed="false">
      <c r="A4" s="36" t="s">
        <v>206</v>
      </c>
      <c r="B4" s="37" t="n">
        <v>1</v>
      </c>
      <c r="C4" s="28" t="s">
        <v>207</v>
      </c>
      <c r="D4" s="37" t="s">
        <v>108</v>
      </c>
      <c r="E4" s="28" t="s">
        <v>208</v>
      </c>
      <c r="F4" s="37" t="n">
        <v>3</v>
      </c>
      <c r="G4" s="28" t="s">
        <v>209</v>
      </c>
      <c r="H4" s="28" t="s">
        <v>205</v>
      </c>
      <c r="I4" s="37" t="s">
        <v>200</v>
      </c>
      <c r="J4" s="37" t="s">
        <v>44</v>
      </c>
      <c r="K4" s="37"/>
      <c r="L4" s="28"/>
      <c r="M4" s="37" t="s">
        <v>27</v>
      </c>
      <c r="N4" s="37" t="s">
        <v>99</v>
      </c>
      <c r="O4" s="28"/>
      <c r="P4" s="32"/>
      <c r="Q4" s="28"/>
    </row>
    <row r="5" customFormat="false" ht="23.85" hidden="false" customHeight="false" outlineLevel="0" collapsed="false">
      <c r="A5" s="36" t="s">
        <v>210</v>
      </c>
      <c r="B5" s="37" t="n">
        <v>1</v>
      </c>
      <c r="C5" s="28" t="s">
        <v>211</v>
      </c>
      <c r="D5" s="37" t="s">
        <v>212</v>
      </c>
      <c r="E5" s="28" t="s">
        <v>213</v>
      </c>
      <c r="F5" s="37" t="n">
        <v>4</v>
      </c>
      <c r="G5" s="28" t="s">
        <v>214</v>
      </c>
      <c r="H5" s="28"/>
      <c r="I5" s="37" t="s">
        <v>200</v>
      </c>
      <c r="J5" s="37" t="s">
        <v>44</v>
      </c>
      <c r="K5" s="37"/>
      <c r="L5" s="28"/>
      <c r="M5" s="37" t="s">
        <v>27</v>
      </c>
      <c r="N5" s="37" t="s">
        <v>99</v>
      </c>
      <c r="O5" s="28"/>
      <c r="P5" s="32"/>
      <c r="Q5" s="28"/>
    </row>
    <row r="6" customFormat="false" ht="23.85" hidden="false" customHeight="false" outlineLevel="0" collapsed="false">
      <c r="A6" s="36" t="s">
        <v>215</v>
      </c>
      <c r="B6" s="37" t="n">
        <v>1</v>
      </c>
      <c r="C6" s="28" t="s">
        <v>216</v>
      </c>
      <c r="D6" s="37" t="s">
        <v>196</v>
      </c>
      <c r="E6" s="28" t="s">
        <v>217</v>
      </c>
      <c r="F6" s="37" t="n">
        <v>4</v>
      </c>
      <c r="G6" s="28" t="s">
        <v>218</v>
      </c>
      <c r="H6" s="28"/>
      <c r="I6" s="37" t="s">
        <v>200</v>
      </c>
      <c r="J6" s="37" t="s">
        <v>44</v>
      </c>
      <c r="K6" s="37"/>
      <c r="L6" s="28"/>
      <c r="M6" s="37" t="s">
        <v>27</v>
      </c>
      <c r="N6" s="37" t="s">
        <v>99</v>
      </c>
      <c r="O6" s="28"/>
      <c r="P6" s="32"/>
      <c r="Q6" s="28"/>
    </row>
    <row r="7" customFormat="false" ht="23.85" hidden="false" customHeight="false" outlineLevel="0" collapsed="false">
      <c r="A7" s="36" t="s">
        <v>219</v>
      </c>
      <c r="B7" s="37" t="n">
        <v>1</v>
      </c>
      <c r="C7" s="28" t="s">
        <v>220</v>
      </c>
      <c r="D7" s="37" t="s">
        <v>196</v>
      </c>
      <c r="E7" s="28" t="s">
        <v>203</v>
      </c>
      <c r="F7" s="37" t="n">
        <v>5</v>
      </c>
      <c r="G7" s="28" t="s">
        <v>221</v>
      </c>
      <c r="H7" s="28"/>
      <c r="I7" s="37" t="s">
        <v>200</v>
      </c>
      <c r="J7" s="37" t="s">
        <v>44</v>
      </c>
      <c r="K7" s="37"/>
      <c r="L7" s="28"/>
      <c r="M7" s="37" t="s">
        <v>27</v>
      </c>
      <c r="N7" s="37" t="s">
        <v>99</v>
      </c>
      <c r="O7" s="28"/>
      <c r="P7" s="32"/>
      <c r="Q7" s="28"/>
    </row>
    <row r="8" customFormat="false" ht="23.85" hidden="false" customHeight="false" outlineLevel="0" collapsed="false">
      <c r="A8" s="36" t="s">
        <v>222</v>
      </c>
      <c r="B8" s="37" t="n">
        <v>2</v>
      </c>
      <c r="C8" s="28" t="s">
        <v>223</v>
      </c>
      <c r="D8" s="37" t="s">
        <v>108</v>
      </c>
      <c r="E8" s="28" t="s">
        <v>203</v>
      </c>
      <c r="F8" s="37" t="n">
        <v>5</v>
      </c>
      <c r="G8" s="28" t="s">
        <v>224</v>
      </c>
      <c r="H8" s="28"/>
      <c r="I8" s="37" t="s">
        <v>200</v>
      </c>
      <c r="J8" s="37" t="s">
        <v>44</v>
      </c>
      <c r="K8" s="37"/>
      <c r="L8" s="28"/>
      <c r="M8" s="37" t="s">
        <v>27</v>
      </c>
      <c r="N8" s="37" t="s">
        <v>108</v>
      </c>
      <c r="O8" s="28"/>
      <c r="P8" s="32"/>
      <c r="Q8" s="28"/>
    </row>
    <row r="9" customFormat="false" ht="15" hidden="false" customHeight="false" outlineLevel="0" collapsed="false">
      <c r="A9" s="36" t="s">
        <v>225</v>
      </c>
      <c r="B9" s="37" t="n">
        <v>2</v>
      </c>
      <c r="C9" s="28" t="s">
        <v>226</v>
      </c>
      <c r="D9" s="37" t="s">
        <v>108</v>
      </c>
      <c r="E9" s="28" t="s">
        <v>227</v>
      </c>
      <c r="F9" s="37" t="n">
        <v>5</v>
      </c>
      <c r="G9" s="28" t="s">
        <v>228</v>
      </c>
      <c r="H9" s="28"/>
      <c r="I9" s="37" t="s">
        <v>200</v>
      </c>
      <c r="J9" s="37" t="s">
        <v>44</v>
      </c>
      <c r="K9" s="37"/>
      <c r="L9" s="28"/>
      <c r="M9" s="37" t="s">
        <v>27</v>
      </c>
      <c r="N9" s="37" t="s">
        <v>108</v>
      </c>
      <c r="O9" s="28"/>
      <c r="P9" s="32"/>
      <c r="Q9" s="28"/>
    </row>
    <row r="10" customFormat="false" ht="15" hidden="false" customHeight="false" outlineLevel="0" collapsed="false">
      <c r="A10" s="36" t="s">
        <v>229</v>
      </c>
      <c r="B10" s="37" t="n">
        <v>2</v>
      </c>
      <c r="C10" s="28" t="s">
        <v>230</v>
      </c>
      <c r="D10" s="37" t="s">
        <v>108</v>
      </c>
      <c r="E10" s="28" t="s">
        <v>231</v>
      </c>
      <c r="F10" s="37" t="n">
        <v>4</v>
      </c>
      <c r="G10" s="28" t="s">
        <v>232</v>
      </c>
      <c r="H10" s="28"/>
      <c r="I10" s="37" t="s">
        <v>200</v>
      </c>
      <c r="J10" s="37" t="s">
        <v>44</v>
      </c>
      <c r="K10" s="37"/>
      <c r="L10" s="28"/>
      <c r="M10" s="37" t="s">
        <v>27</v>
      </c>
      <c r="N10" s="37" t="s">
        <v>108</v>
      </c>
      <c r="O10" s="28"/>
      <c r="P10" s="32"/>
      <c r="Q10" s="28"/>
    </row>
    <row r="11" customFormat="false" ht="15" hidden="false" customHeight="false" outlineLevel="0" collapsed="false">
      <c r="A11" s="36" t="s">
        <v>233</v>
      </c>
      <c r="B11" s="37" t="n">
        <v>2</v>
      </c>
      <c r="C11" s="28" t="s">
        <v>234</v>
      </c>
      <c r="D11" s="37" t="s">
        <v>108</v>
      </c>
      <c r="E11" s="28" t="s">
        <v>231</v>
      </c>
      <c r="F11" s="37" t="n">
        <v>4</v>
      </c>
      <c r="G11" s="28" t="s">
        <v>235</v>
      </c>
      <c r="H11" s="28"/>
      <c r="I11" s="37" t="s">
        <v>200</v>
      </c>
      <c r="J11" s="37" t="s">
        <v>44</v>
      </c>
      <c r="K11" s="37"/>
      <c r="L11" s="28"/>
      <c r="M11" s="37" t="s">
        <v>27</v>
      </c>
      <c r="N11" s="37" t="s">
        <v>108</v>
      </c>
      <c r="O11" s="28"/>
      <c r="P11" s="32"/>
      <c r="Q11" s="28"/>
    </row>
    <row r="12" customFormat="false" ht="23.85" hidden="false" customHeight="false" outlineLevel="0" collapsed="false">
      <c r="A12" s="36" t="s">
        <v>236</v>
      </c>
      <c r="B12" s="37" t="n">
        <v>2</v>
      </c>
      <c r="C12" s="28" t="s">
        <v>237</v>
      </c>
      <c r="D12" s="37" t="s">
        <v>238</v>
      </c>
      <c r="E12" s="28" t="s">
        <v>203</v>
      </c>
      <c r="F12" s="37" t="n">
        <v>6</v>
      </c>
      <c r="G12" s="28" t="s">
        <v>239</v>
      </c>
      <c r="H12" s="28" t="s">
        <v>105</v>
      </c>
      <c r="I12" s="37" t="s">
        <v>200</v>
      </c>
      <c r="J12" s="37" t="s">
        <v>44</v>
      </c>
      <c r="K12" s="37"/>
      <c r="L12" s="28"/>
      <c r="M12" s="37" t="s">
        <v>27</v>
      </c>
      <c r="N12" s="37" t="s">
        <v>108</v>
      </c>
      <c r="O12" s="28"/>
      <c r="P12" s="32"/>
      <c r="Q12" s="28"/>
    </row>
    <row r="13" customFormat="false" ht="23.85" hidden="false" customHeight="false" outlineLevel="0" collapsed="false">
      <c r="A13" s="36" t="s">
        <v>240</v>
      </c>
      <c r="B13" s="37" t="n">
        <v>2</v>
      </c>
      <c r="C13" s="28" t="s">
        <v>241</v>
      </c>
      <c r="D13" s="37" t="s">
        <v>238</v>
      </c>
      <c r="E13" s="28" t="s">
        <v>242</v>
      </c>
      <c r="F13" s="37" t="n">
        <v>6</v>
      </c>
      <c r="G13" s="28" t="s">
        <v>243</v>
      </c>
      <c r="H13" s="28" t="s">
        <v>105</v>
      </c>
      <c r="I13" s="37" t="s">
        <v>200</v>
      </c>
      <c r="J13" s="37" t="s">
        <v>44</v>
      </c>
      <c r="K13" s="37"/>
      <c r="L13" s="28"/>
      <c r="M13" s="37" t="s">
        <v>27</v>
      </c>
      <c r="N13" s="37" t="s">
        <v>108</v>
      </c>
      <c r="O13" s="28"/>
      <c r="P13" s="32"/>
      <c r="Q13" s="28"/>
    </row>
    <row r="14" customFormat="false" ht="23.85" hidden="false" customHeight="false" outlineLevel="0" collapsed="false">
      <c r="A14" s="36" t="s">
        <v>244</v>
      </c>
      <c r="B14" s="37" t="n">
        <v>3</v>
      </c>
      <c r="C14" s="28" t="s">
        <v>245</v>
      </c>
      <c r="D14" s="37" t="s">
        <v>196</v>
      </c>
      <c r="E14" s="28" t="s">
        <v>203</v>
      </c>
      <c r="F14" s="37" t="n">
        <v>5</v>
      </c>
      <c r="G14" s="28" t="s">
        <v>246</v>
      </c>
      <c r="H14" s="28"/>
      <c r="I14" s="37" t="s">
        <v>200</v>
      </c>
      <c r="J14" s="37" t="s">
        <v>44</v>
      </c>
      <c r="K14" s="37"/>
      <c r="L14" s="28"/>
      <c r="M14" s="37" t="s">
        <v>27</v>
      </c>
      <c r="N14" s="37" t="s">
        <v>108</v>
      </c>
      <c r="O14" s="28"/>
      <c r="P14" s="32"/>
      <c r="Q14" s="28"/>
    </row>
    <row r="15" customFormat="false" ht="23.85" hidden="false" customHeight="false" outlineLevel="0" collapsed="false">
      <c r="A15" s="36" t="s">
        <v>247</v>
      </c>
      <c r="B15" s="37" t="n">
        <v>3</v>
      </c>
      <c r="C15" s="28" t="s">
        <v>248</v>
      </c>
      <c r="D15" s="37" t="s">
        <v>108</v>
      </c>
      <c r="E15" s="28" t="s">
        <v>249</v>
      </c>
      <c r="F15" s="37" t="n">
        <v>4</v>
      </c>
      <c r="G15" s="28" t="s">
        <v>250</v>
      </c>
      <c r="H15" s="28" t="s">
        <v>251</v>
      </c>
      <c r="I15" s="37" t="s">
        <v>200</v>
      </c>
      <c r="J15" s="37" t="s">
        <v>44</v>
      </c>
      <c r="K15" s="37"/>
      <c r="L15" s="28"/>
      <c r="M15" s="37" t="s">
        <v>27</v>
      </c>
      <c r="N15" s="37" t="s">
        <v>108</v>
      </c>
      <c r="O15" s="28"/>
      <c r="P15" s="32"/>
      <c r="Q15" s="28"/>
    </row>
    <row r="16" customFormat="false" ht="23.85" hidden="false" customHeight="false" outlineLevel="0" collapsed="false">
      <c r="A16" s="36" t="s">
        <v>252</v>
      </c>
      <c r="B16" s="37" t="n">
        <v>3</v>
      </c>
      <c r="C16" s="28" t="s">
        <v>253</v>
      </c>
      <c r="D16" s="37" t="s">
        <v>108</v>
      </c>
      <c r="E16" s="28" t="s">
        <v>254</v>
      </c>
      <c r="F16" s="37" t="n">
        <v>4</v>
      </c>
      <c r="G16" s="28" t="s">
        <v>255</v>
      </c>
      <c r="H16" s="28" t="s">
        <v>256</v>
      </c>
      <c r="I16" s="37" t="s">
        <v>200</v>
      </c>
      <c r="J16" s="37" t="s">
        <v>44</v>
      </c>
      <c r="K16" s="37"/>
      <c r="L16" s="28"/>
      <c r="M16" s="37" t="s">
        <v>27</v>
      </c>
      <c r="N16" s="37" t="s">
        <v>108</v>
      </c>
      <c r="O16" s="28"/>
      <c r="P16" s="32"/>
      <c r="Q16" s="28"/>
    </row>
    <row r="17" customFormat="false" ht="15" hidden="false" customHeight="false" outlineLevel="0" collapsed="false">
      <c r="A17" s="36" t="s">
        <v>257</v>
      </c>
      <c r="B17" s="37" t="n">
        <v>3</v>
      </c>
      <c r="C17" s="28" t="s">
        <v>258</v>
      </c>
      <c r="D17" s="37" t="s">
        <v>108</v>
      </c>
      <c r="E17" s="28" t="s">
        <v>259</v>
      </c>
      <c r="F17" s="37" t="n">
        <v>4</v>
      </c>
      <c r="G17" s="28" t="s">
        <v>260</v>
      </c>
      <c r="H17" s="28"/>
      <c r="I17" s="37" t="s">
        <v>200</v>
      </c>
      <c r="J17" s="37" t="s">
        <v>44</v>
      </c>
      <c r="K17" s="37"/>
      <c r="L17" s="28"/>
      <c r="M17" s="37" t="s">
        <v>27</v>
      </c>
      <c r="N17" s="37" t="s">
        <v>108</v>
      </c>
      <c r="O17" s="28"/>
      <c r="P17" s="32"/>
      <c r="Q17" s="28"/>
    </row>
    <row r="18" customFormat="false" ht="23.85" hidden="false" customHeight="false" outlineLevel="0" collapsed="false">
      <c r="A18" s="36" t="s">
        <v>261</v>
      </c>
      <c r="B18" s="37" t="n">
        <v>3</v>
      </c>
      <c r="C18" s="28" t="s">
        <v>262</v>
      </c>
      <c r="D18" s="37" t="s">
        <v>196</v>
      </c>
      <c r="E18" s="28" t="s">
        <v>263</v>
      </c>
      <c r="F18" s="37" t="n">
        <v>8</v>
      </c>
      <c r="G18" s="28" t="s">
        <v>264</v>
      </c>
      <c r="H18" s="28" t="s">
        <v>265</v>
      </c>
      <c r="I18" s="37" t="s">
        <v>200</v>
      </c>
      <c r="J18" s="37" t="s">
        <v>44</v>
      </c>
      <c r="K18" s="37"/>
      <c r="L18" s="28"/>
      <c r="M18" s="37" t="s">
        <v>27</v>
      </c>
      <c r="N18" s="37" t="s">
        <v>108</v>
      </c>
      <c r="O18" s="28"/>
      <c r="P18" s="32"/>
      <c r="Q18" s="28"/>
    </row>
    <row r="19" customFormat="false" ht="15" hidden="false" customHeight="false" outlineLevel="0" collapsed="false">
      <c r="A19" s="36" t="s">
        <v>266</v>
      </c>
      <c r="B19" s="37" t="n">
        <v>4</v>
      </c>
      <c r="C19" s="28" t="s">
        <v>267</v>
      </c>
      <c r="D19" s="37" t="s">
        <v>238</v>
      </c>
      <c r="E19" s="28" t="s">
        <v>203</v>
      </c>
      <c r="F19" s="37" t="n">
        <v>3</v>
      </c>
      <c r="G19" s="28" t="s">
        <v>209</v>
      </c>
      <c r="H19" s="28"/>
      <c r="I19" s="37" t="s">
        <v>200</v>
      </c>
      <c r="J19" s="37" t="s">
        <v>44</v>
      </c>
      <c r="K19" s="37"/>
      <c r="L19" s="28"/>
      <c r="M19" s="37" t="s">
        <v>27</v>
      </c>
      <c r="N19" s="37" t="s">
        <v>108</v>
      </c>
      <c r="O19" s="28"/>
      <c r="P19" s="32"/>
      <c r="Q19" s="28"/>
    </row>
    <row r="20" customFormat="false" ht="23.85" hidden="false" customHeight="false" outlineLevel="0" collapsed="false">
      <c r="A20" s="36" t="s">
        <v>268</v>
      </c>
      <c r="B20" s="37" t="n">
        <v>4</v>
      </c>
      <c r="C20" s="28" t="s">
        <v>269</v>
      </c>
      <c r="D20" s="37" t="s">
        <v>212</v>
      </c>
      <c r="E20" s="28" t="s">
        <v>270</v>
      </c>
      <c r="F20" s="37" t="n">
        <v>4</v>
      </c>
      <c r="G20" s="28" t="s">
        <v>271</v>
      </c>
      <c r="H20" s="28"/>
      <c r="I20" s="37" t="s">
        <v>200</v>
      </c>
      <c r="J20" s="37" t="s">
        <v>44</v>
      </c>
      <c r="K20" s="37"/>
      <c r="L20" s="28"/>
      <c r="M20" s="37" t="s">
        <v>27</v>
      </c>
      <c r="N20" s="37" t="s">
        <v>108</v>
      </c>
      <c r="O20" s="28"/>
      <c r="P20" s="32"/>
      <c r="Q20" s="28"/>
    </row>
    <row r="21" customFormat="false" ht="23.85" hidden="false" customHeight="false" outlineLevel="0" collapsed="false">
      <c r="A21" s="36" t="s">
        <v>272</v>
      </c>
      <c r="B21" s="37" t="n">
        <v>4</v>
      </c>
      <c r="C21" s="28" t="s">
        <v>273</v>
      </c>
      <c r="D21" s="37" t="s">
        <v>196</v>
      </c>
      <c r="E21" s="28" t="s">
        <v>259</v>
      </c>
      <c r="F21" s="37" t="n">
        <v>6</v>
      </c>
      <c r="G21" s="28" t="s">
        <v>274</v>
      </c>
      <c r="H21" s="28" t="s">
        <v>275</v>
      </c>
      <c r="I21" s="37" t="s">
        <v>200</v>
      </c>
      <c r="J21" s="37" t="s">
        <v>44</v>
      </c>
      <c r="K21" s="37"/>
      <c r="L21" s="28"/>
      <c r="M21" s="37" t="s">
        <v>27</v>
      </c>
      <c r="N21" s="37" t="s">
        <v>108</v>
      </c>
      <c r="O21" s="28"/>
      <c r="P21" s="32"/>
      <c r="Q21" s="28"/>
    </row>
    <row r="22" customFormat="false" ht="15" hidden="false" customHeight="false" outlineLevel="0" collapsed="false">
      <c r="A22" s="36" t="s">
        <v>276</v>
      </c>
      <c r="B22" s="37" t="n">
        <v>4</v>
      </c>
      <c r="C22" s="28" t="s">
        <v>277</v>
      </c>
      <c r="D22" s="37" t="s">
        <v>108</v>
      </c>
      <c r="E22" s="28" t="s">
        <v>259</v>
      </c>
      <c r="F22" s="37" t="n">
        <v>6</v>
      </c>
      <c r="G22" s="28" t="s">
        <v>274</v>
      </c>
      <c r="H22" s="28" t="s">
        <v>278</v>
      </c>
      <c r="I22" s="37" t="s">
        <v>200</v>
      </c>
      <c r="J22" s="37" t="s">
        <v>44</v>
      </c>
      <c r="K22" s="37"/>
      <c r="L22" s="28"/>
      <c r="M22" s="37" t="s">
        <v>27</v>
      </c>
      <c r="N22" s="37" t="s">
        <v>108</v>
      </c>
      <c r="O22" s="28"/>
      <c r="P22" s="32"/>
      <c r="Q22" s="28"/>
    </row>
    <row r="23" customFormat="false" ht="15" hidden="false" customHeight="false" outlineLevel="0" collapsed="false">
      <c r="A23" s="36" t="s">
        <v>279</v>
      </c>
      <c r="B23" s="37" t="n">
        <v>4</v>
      </c>
      <c r="C23" s="28" t="s">
        <v>280</v>
      </c>
      <c r="D23" s="37" t="s">
        <v>108</v>
      </c>
      <c r="E23" s="28" t="s">
        <v>203</v>
      </c>
      <c r="F23" s="37" t="n">
        <v>5</v>
      </c>
      <c r="G23" s="28" t="s">
        <v>281</v>
      </c>
      <c r="H23" s="28"/>
      <c r="I23" s="37" t="s">
        <v>200</v>
      </c>
      <c r="J23" s="37" t="s">
        <v>44</v>
      </c>
      <c r="K23" s="37"/>
      <c r="L23" s="28"/>
      <c r="M23" s="37" t="s">
        <v>27</v>
      </c>
      <c r="N23" s="37" t="s">
        <v>108</v>
      </c>
      <c r="O23" s="28"/>
      <c r="P23" s="32"/>
      <c r="Q23" s="28"/>
    </row>
    <row r="24" customFormat="false" ht="15" hidden="false" customHeight="false" outlineLevel="0" collapsed="false">
      <c r="A24" s="36" t="s">
        <v>282</v>
      </c>
      <c r="B24" s="37" t="n">
        <v>4</v>
      </c>
      <c r="C24" s="28" t="s">
        <v>283</v>
      </c>
      <c r="D24" s="37" t="s">
        <v>238</v>
      </c>
      <c r="E24" s="28" t="s">
        <v>203</v>
      </c>
      <c r="F24" s="37" t="n">
        <v>6</v>
      </c>
      <c r="G24" s="28" t="s">
        <v>243</v>
      </c>
      <c r="H24" s="28" t="s">
        <v>284</v>
      </c>
      <c r="I24" s="37" t="s">
        <v>200</v>
      </c>
      <c r="J24" s="37" t="s">
        <v>44</v>
      </c>
      <c r="K24" s="37"/>
      <c r="L24" s="28"/>
      <c r="M24" s="37" t="s">
        <v>27</v>
      </c>
      <c r="N24" s="37" t="s">
        <v>108</v>
      </c>
      <c r="O24" s="28"/>
      <c r="P24" s="32"/>
      <c r="Q24" s="28"/>
    </row>
    <row r="25" customFormat="false" ht="23.85" hidden="false" customHeight="false" outlineLevel="0" collapsed="false">
      <c r="A25" s="36" t="s">
        <v>285</v>
      </c>
      <c r="B25" s="37" t="n">
        <v>5</v>
      </c>
      <c r="C25" s="28" t="s">
        <v>286</v>
      </c>
      <c r="D25" s="37" t="s">
        <v>196</v>
      </c>
      <c r="E25" s="28" t="s">
        <v>203</v>
      </c>
      <c r="F25" s="37" t="n">
        <v>6</v>
      </c>
      <c r="G25" s="28" t="s">
        <v>287</v>
      </c>
      <c r="H25" s="28"/>
      <c r="I25" s="37" t="s">
        <v>200</v>
      </c>
      <c r="J25" s="37" t="s">
        <v>44</v>
      </c>
      <c r="K25" s="37"/>
      <c r="L25" s="28"/>
      <c r="M25" s="37" t="s">
        <v>27</v>
      </c>
      <c r="N25" s="37" t="s">
        <v>108</v>
      </c>
      <c r="O25" s="28"/>
      <c r="P25" s="32"/>
      <c r="Q25" s="28"/>
    </row>
    <row r="26" customFormat="false" ht="23.85" hidden="false" customHeight="false" outlineLevel="0" collapsed="false">
      <c r="A26" s="36" t="s">
        <v>288</v>
      </c>
      <c r="B26" s="37" t="n">
        <v>5</v>
      </c>
      <c r="C26" s="28" t="s">
        <v>289</v>
      </c>
      <c r="D26" s="37" t="s">
        <v>108</v>
      </c>
      <c r="E26" s="28" t="s">
        <v>290</v>
      </c>
      <c r="F26" s="37" t="n">
        <v>8</v>
      </c>
      <c r="G26" s="28" t="s">
        <v>291</v>
      </c>
      <c r="H26" s="28" t="s">
        <v>292</v>
      </c>
      <c r="I26" s="37" t="s">
        <v>200</v>
      </c>
      <c r="J26" s="37" t="s">
        <v>44</v>
      </c>
      <c r="K26" s="37"/>
      <c r="L26" s="28"/>
      <c r="M26" s="37" t="s">
        <v>27</v>
      </c>
      <c r="N26" s="37" t="s">
        <v>108</v>
      </c>
      <c r="O26" s="28"/>
      <c r="P26" s="32"/>
      <c r="Q26" s="28"/>
    </row>
    <row r="27" customFormat="false" ht="15" hidden="false" customHeight="false" outlineLevel="0" collapsed="false">
      <c r="A27" s="36" t="s">
        <v>293</v>
      </c>
      <c r="B27" s="37" t="n">
        <v>5</v>
      </c>
      <c r="C27" s="28" t="s">
        <v>294</v>
      </c>
      <c r="D27" s="37" t="s">
        <v>196</v>
      </c>
      <c r="E27" s="28" t="s">
        <v>295</v>
      </c>
      <c r="F27" s="37" t="n">
        <v>6</v>
      </c>
      <c r="G27" s="28" t="s">
        <v>296</v>
      </c>
      <c r="H27" s="28" t="s">
        <v>297</v>
      </c>
      <c r="I27" s="37" t="s">
        <v>200</v>
      </c>
      <c r="J27" s="37" t="s">
        <v>44</v>
      </c>
      <c r="K27" s="37"/>
      <c r="L27" s="28"/>
      <c r="M27" s="37" t="s">
        <v>27</v>
      </c>
      <c r="N27" s="37" t="s">
        <v>108</v>
      </c>
      <c r="O27" s="28"/>
      <c r="P27" s="32"/>
      <c r="Q27" s="28"/>
    </row>
    <row r="28" customFormat="false" ht="23.85" hidden="false" customHeight="false" outlineLevel="0" collapsed="false">
      <c r="A28" s="36" t="s">
        <v>298</v>
      </c>
      <c r="B28" s="37" t="n">
        <v>5</v>
      </c>
      <c r="C28" s="28" t="s">
        <v>299</v>
      </c>
      <c r="D28" s="37" t="s">
        <v>300</v>
      </c>
      <c r="E28" s="28" t="s">
        <v>301</v>
      </c>
      <c r="F28" s="37" t="n">
        <v>5</v>
      </c>
      <c r="G28" s="28" t="s">
        <v>302</v>
      </c>
      <c r="H28" s="28"/>
      <c r="I28" s="37" t="s">
        <v>200</v>
      </c>
      <c r="J28" s="37" t="s">
        <v>44</v>
      </c>
      <c r="K28" s="37"/>
      <c r="L28" s="28"/>
      <c r="M28" s="37" t="s">
        <v>27</v>
      </c>
      <c r="N28" s="37" t="s">
        <v>108</v>
      </c>
      <c r="O28" s="28"/>
      <c r="P28" s="32"/>
      <c r="Q28" s="28"/>
    </row>
    <row r="29" customFormat="false" ht="15" hidden="false" customHeight="false" outlineLevel="0" collapsed="false">
      <c r="A29" s="36" t="s">
        <v>303</v>
      </c>
      <c r="B29" s="37" t="n">
        <v>5</v>
      </c>
      <c r="C29" s="28" t="s">
        <v>304</v>
      </c>
      <c r="D29" s="37" t="s">
        <v>238</v>
      </c>
      <c r="E29" s="28" t="s">
        <v>203</v>
      </c>
      <c r="F29" s="37" t="n">
        <v>5</v>
      </c>
      <c r="G29" s="28" t="s">
        <v>305</v>
      </c>
      <c r="H29" s="28" t="s">
        <v>129</v>
      </c>
      <c r="I29" s="37" t="s">
        <v>200</v>
      </c>
      <c r="J29" s="37" t="s">
        <v>44</v>
      </c>
      <c r="K29" s="37"/>
      <c r="L29" s="28"/>
      <c r="M29" s="37" t="s">
        <v>27</v>
      </c>
      <c r="N29" s="37" t="s">
        <v>108</v>
      </c>
      <c r="O29" s="28"/>
      <c r="P29" s="32"/>
      <c r="Q29" s="28"/>
    </row>
    <row r="30" customFormat="false" ht="23.85" hidden="false" customHeight="false" outlineLevel="0" collapsed="false">
      <c r="A30" s="36" t="s">
        <v>306</v>
      </c>
      <c r="B30" s="37" t="n">
        <v>6</v>
      </c>
      <c r="C30" s="28" t="s">
        <v>307</v>
      </c>
      <c r="D30" s="37" t="s">
        <v>212</v>
      </c>
      <c r="E30" s="28" t="s">
        <v>270</v>
      </c>
      <c r="F30" s="37" t="n">
        <v>4</v>
      </c>
      <c r="G30" s="28" t="s">
        <v>308</v>
      </c>
      <c r="H30" s="28"/>
      <c r="I30" s="37" t="s">
        <v>200</v>
      </c>
      <c r="J30" s="37" t="s">
        <v>44</v>
      </c>
      <c r="K30" s="37"/>
      <c r="L30" s="28"/>
      <c r="M30" s="37" t="s">
        <v>27</v>
      </c>
      <c r="N30" s="37" t="s">
        <v>108</v>
      </c>
      <c r="O30" s="28"/>
      <c r="P30" s="32"/>
      <c r="Q30" s="28"/>
    </row>
    <row r="31" customFormat="false" ht="23.85" hidden="false" customHeight="false" outlineLevel="0" collapsed="false">
      <c r="A31" s="36" t="s">
        <v>309</v>
      </c>
      <c r="B31" s="37" t="n">
        <v>6</v>
      </c>
      <c r="C31" s="28" t="s">
        <v>310</v>
      </c>
      <c r="D31" s="37" t="s">
        <v>108</v>
      </c>
      <c r="E31" s="28" t="s">
        <v>311</v>
      </c>
      <c r="F31" s="37" t="n">
        <v>8</v>
      </c>
      <c r="G31" s="28" t="s">
        <v>312</v>
      </c>
      <c r="H31" s="28" t="s">
        <v>313</v>
      </c>
      <c r="I31" s="37" t="s">
        <v>200</v>
      </c>
      <c r="J31" s="37" t="s">
        <v>44</v>
      </c>
      <c r="K31" s="37"/>
      <c r="L31" s="28"/>
      <c r="M31" s="37" t="s">
        <v>27</v>
      </c>
      <c r="N31" s="37" t="s">
        <v>108</v>
      </c>
      <c r="O31" s="28"/>
      <c r="P31" s="32"/>
      <c r="Q31" s="28"/>
    </row>
    <row r="32" customFormat="false" ht="15" hidden="false" customHeight="false" outlineLevel="0" collapsed="false">
      <c r="A32" s="36" t="s">
        <v>314</v>
      </c>
      <c r="B32" s="37" t="n">
        <v>6</v>
      </c>
      <c r="C32" s="28" t="s">
        <v>315</v>
      </c>
      <c r="D32" s="37" t="s">
        <v>108</v>
      </c>
      <c r="E32" s="28" t="s">
        <v>203</v>
      </c>
      <c r="F32" s="37" t="n">
        <v>4</v>
      </c>
      <c r="G32" s="28" t="s">
        <v>316</v>
      </c>
      <c r="H32" s="28"/>
      <c r="I32" s="37" t="s">
        <v>200</v>
      </c>
      <c r="J32" s="37" t="s">
        <v>44</v>
      </c>
      <c r="K32" s="37"/>
      <c r="L32" s="28"/>
      <c r="M32" s="37" t="s">
        <v>27</v>
      </c>
      <c r="N32" s="37" t="s">
        <v>108</v>
      </c>
      <c r="O32" s="28"/>
      <c r="P32" s="32"/>
      <c r="Q32" s="28"/>
    </row>
    <row r="33" customFormat="false" ht="23.85" hidden="false" customHeight="false" outlineLevel="0" collapsed="false">
      <c r="A33" s="36" t="s">
        <v>317</v>
      </c>
      <c r="B33" s="37" t="n">
        <v>6</v>
      </c>
      <c r="C33" s="28" t="s">
        <v>318</v>
      </c>
      <c r="D33" s="37" t="s">
        <v>238</v>
      </c>
      <c r="E33" s="28" t="s">
        <v>203</v>
      </c>
      <c r="F33" s="37" t="n">
        <v>5</v>
      </c>
      <c r="G33" s="28" t="s">
        <v>239</v>
      </c>
      <c r="H33" s="28" t="s">
        <v>319</v>
      </c>
      <c r="I33" s="37" t="s">
        <v>200</v>
      </c>
      <c r="J33" s="37" t="s">
        <v>44</v>
      </c>
      <c r="K33" s="37"/>
      <c r="L33" s="28"/>
      <c r="M33" s="37" t="s">
        <v>27</v>
      </c>
      <c r="N33" s="37" t="s">
        <v>108</v>
      </c>
      <c r="O33" s="28"/>
      <c r="P33" s="32"/>
      <c r="Q33" s="28"/>
    </row>
    <row r="34" customFormat="false" ht="15" hidden="false" customHeight="false" outlineLevel="0" collapsed="false">
      <c r="A34" s="36" t="s">
        <v>320</v>
      </c>
      <c r="B34" s="37" t="n">
        <v>6</v>
      </c>
      <c r="C34" s="28" t="s">
        <v>321</v>
      </c>
      <c r="D34" s="37" t="s">
        <v>196</v>
      </c>
      <c r="E34" s="28" t="s">
        <v>322</v>
      </c>
      <c r="F34" s="37" t="n">
        <v>5</v>
      </c>
      <c r="G34" s="28" t="s">
        <v>323</v>
      </c>
      <c r="H34" s="28"/>
      <c r="I34" s="37" t="s">
        <v>200</v>
      </c>
      <c r="J34" s="37" t="s">
        <v>44</v>
      </c>
      <c r="K34" s="37"/>
      <c r="L34" s="28"/>
      <c r="M34" s="37" t="s">
        <v>27</v>
      </c>
      <c r="N34" s="37" t="s">
        <v>108</v>
      </c>
      <c r="O34" s="28"/>
      <c r="P34" s="32"/>
      <c r="Q34" s="28"/>
    </row>
    <row r="35" customFormat="false" ht="23.85" hidden="false" customHeight="false" outlineLevel="0" collapsed="false">
      <c r="A35" s="36" t="s">
        <v>324</v>
      </c>
      <c r="B35" s="37" t="n">
        <v>6</v>
      </c>
      <c r="C35" s="28" t="s">
        <v>325</v>
      </c>
      <c r="D35" s="37" t="s">
        <v>108</v>
      </c>
      <c r="E35" s="28" t="s">
        <v>203</v>
      </c>
      <c r="F35" s="37" t="n">
        <v>4</v>
      </c>
      <c r="G35" s="28" t="s">
        <v>326</v>
      </c>
      <c r="H35" s="28" t="s">
        <v>327</v>
      </c>
      <c r="I35" s="37" t="s">
        <v>200</v>
      </c>
      <c r="J35" s="37" t="s">
        <v>44</v>
      </c>
      <c r="K35" s="37"/>
      <c r="L35" s="28"/>
      <c r="M35" s="37" t="s">
        <v>27</v>
      </c>
      <c r="N35" s="37" t="s">
        <v>108</v>
      </c>
      <c r="O35" s="28"/>
      <c r="P35" s="32"/>
      <c r="Q35" s="28"/>
    </row>
    <row r="36" customFormat="false" ht="15" hidden="false" customHeight="false" outlineLevel="0" collapsed="false">
      <c r="A36" s="36" t="s">
        <v>328</v>
      </c>
      <c r="B36" s="37" t="n">
        <v>7</v>
      </c>
      <c r="C36" s="28" t="s">
        <v>329</v>
      </c>
      <c r="D36" s="37" t="s">
        <v>196</v>
      </c>
      <c r="E36" s="28" t="s">
        <v>330</v>
      </c>
      <c r="F36" s="37" t="n">
        <v>7</v>
      </c>
      <c r="G36" s="28" t="s">
        <v>331</v>
      </c>
      <c r="H36" s="28" t="s">
        <v>332</v>
      </c>
      <c r="I36" s="37" t="s">
        <v>200</v>
      </c>
      <c r="J36" s="37" t="s">
        <v>44</v>
      </c>
      <c r="K36" s="37"/>
      <c r="L36" s="28"/>
      <c r="M36" s="37" t="s">
        <v>27</v>
      </c>
      <c r="N36" s="37" t="s">
        <v>108</v>
      </c>
      <c r="O36" s="28"/>
      <c r="P36" s="32"/>
      <c r="Q36" s="28"/>
    </row>
    <row r="37" customFormat="false" ht="15" hidden="false" customHeight="false" outlineLevel="0" collapsed="false">
      <c r="A37" s="36" t="s">
        <v>333</v>
      </c>
      <c r="B37" s="37" t="n">
        <v>7</v>
      </c>
      <c r="C37" s="28" t="s">
        <v>334</v>
      </c>
      <c r="D37" s="37" t="s">
        <v>196</v>
      </c>
      <c r="E37" s="28" t="s">
        <v>330</v>
      </c>
      <c r="F37" s="37" t="n">
        <v>7</v>
      </c>
      <c r="G37" s="28" t="s">
        <v>335</v>
      </c>
      <c r="H37" s="28" t="s">
        <v>332</v>
      </c>
      <c r="I37" s="37" t="s">
        <v>200</v>
      </c>
      <c r="J37" s="37" t="s">
        <v>44</v>
      </c>
      <c r="K37" s="37"/>
      <c r="L37" s="28"/>
      <c r="M37" s="37" t="s">
        <v>27</v>
      </c>
      <c r="N37" s="37" t="s">
        <v>108</v>
      </c>
      <c r="O37" s="28"/>
      <c r="P37" s="32"/>
      <c r="Q37" s="28"/>
    </row>
    <row r="38" customFormat="false" ht="15" hidden="false" customHeight="false" outlineLevel="0" collapsed="false">
      <c r="A38" s="36" t="s">
        <v>336</v>
      </c>
      <c r="B38" s="37" t="n">
        <v>7</v>
      </c>
      <c r="C38" s="28" t="s">
        <v>337</v>
      </c>
      <c r="D38" s="37" t="s">
        <v>108</v>
      </c>
      <c r="E38" s="28" t="s">
        <v>330</v>
      </c>
      <c r="F38" s="37" t="n">
        <v>6</v>
      </c>
      <c r="G38" s="28" t="s">
        <v>338</v>
      </c>
      <c r="H38" s="28" t="s">
        <v>332</v>
      </c>
      <c r="I38" s="37" t="s">
        <v>200</v>
      </c>
      <c r="J38" s="37" t="s">
        <v>44</v>
      </c>
      <c r="K38" s="37"/>
      <c r="L38" s="28"/>
      <c r="M38" s="37" t="s">
        <v>27</v>
      </c>
      <c r="N38" s="37" t="s">
        <v>108</v>
      </c>
      <c r="O38" s="28"/>
      <c r="P38" s="32"/>
      <c r="Q38" s="28"/>
    </row>
    <row r="39" customFormat="false" ht="15" hidden="false" customHeight="false" outlineLevel="0" collapsed="false">
      <c r="A39" s="36" t="s">
        <v>339</v>
      </c>
      <c r="B39" s="37" t="n">
        <v>7</v>
      </c>
      <c r="C39" s="28" t="s">
        <v>340</v>
      </c>
      <c r="D39" s="37" t="s">
        <v>108</v>
      </c>
      <c r="E39" s="28" t="s">
        <v>330</v>
      </c>
      <c r="F39" s="37" t="n">
        <v>6</v>
      </c>
      <c r="G39" s="28" t="s">
        <v>341</v>
      </c>
      <c r="H39" s="28" t="s">
        <v>342</v>
      </c>
      <c r="I39" s="37" t="s">
        <v>200</v>
      </c>
      <c r="J39" s="37" t="s">
        <v>44</v>
      </c>
      <c r="K39" s="37"/>
      <c r="L39" s="28"/>
      <c r="M39" s="37" t="s">
        <v>27</v>
      </c>
      <c r="N39" s="37" t="s">
        <v>108</v>
      </c>
      <c r="O39" s="28"/>
      <c r="P39" s="32"/>
      <c r="Q39" s="28"/>
    </row>
    <row r="40" customFormat="false" ht="23.85" hidden="false" customHeight="false" outlineLevel="0" collapsed="false">
      <c r="A40" s="36" t="s">
        <v>343</v>
      </c>
      <c r="B40" s="37" t="n">
        <v>7</v>
      </c>
      <c r="C40" s="28" t="s">
        <v>344</v>
      </c>
      <c r="D40" s="37" t="s">
        <v>108</v>
      </c>
      <c r="E40" s="28" t="s">
        <v>330</v>
      </c>
      <c r="F40" s="37" t="n">
        <v>7</v>
      </c>
      <c r="G40" s="28" t="s">
        <v>345</v>
      </c>
      <c r="H40" s="28" t="s">
        <v>346</v>
      </c>
      <c r="I40" s="37" t="s">
        <v>200</v>
      </c>
      <c r="J40" s="37" t="s">
        <v>44</v>
      </c>
      <c r="K40" s="37"/>
      <c r="L40" s="28"/>
      <c r="M40" s="37" t="s">
        <v>27</v>
      </c>
      <c r="N40" s="37" t="s">
        <v>108</v>
      </c>
      <c r="O40" s="28"/>
      <c r="P40" s="32"/>
      <c r="Q40" s="28"/>
    </row>
    <row r="41" customFormat="false" ht="23.85" hidden="false" customHeight="false" outlineLevel="0" collapsed="false">
      <c r="A41" s="36" t="s">
        <v>347</v>
      </c>
      <c r="B41" s="37" t="n">
        <v>7</v>
      </c>
      <c r="C41" s="28" t="s">
        <v>348</v>
      </c>
      <c r="D41" s="37" t="s">
        <v>108</v>
      </c>
      <c r="E41" s="28" t="s">
        <v>330</v>
      </c>
      <c r="F41" s="37" t="n">
        <v>7</v>
      </c>
      <c r="G41" s="28" t="s">
        <v>349</v>
      </c>
      <c r="H41" s="28" t="s">
        <v>332</v>
      </c>
      <c r="I41" s="37" t="s">
        <v>200</v>
      </c>
      <c r="J41" s="37" t="s">
        <v>44</v>
      </c>
      <c r="K41" s="37"/>
      <c r="L41" s="28"/>
      <c r="M41" s="37" t="s">
        <v>27</v>
      </c>
      <c r="N41" s="37" t="s">
        <v>108</v>
      </c>
      <c r="O41" s="28"/>
      <c r="P41" s="32"/>
      <c r="Q41" s="28"/>
    </row>
    <row r="42" customFormat="false" ht="15" hidden="false" customHeight="false" outlineLevel="0" collapsed="false">
      <c r="A42" s="36" t="s">
        <v>350</v>
      </c>
      <c r="B42" s="37" t="n">
        <v>8</v>
      </c>
      <c r="C42" s="28" t="s">
        <v>351</v>
      </c>
      <c r="D42" s="37" t="s">
        <v>196</v>
      </c>
      <c r="E42" s="28" t="s">
        <v>203</v>
      </c>
      <c r="F42" s="37" t="n">
        <v>5</v>
      </c>
      <c r="G42" s="28" t="s">
        <v>352</v>
      </c>
      <c r="H42" s="28"/>
      <c r="I42" s="37" t="s">
        <v>200</v>
      </c>
      <c r="J42" s="37" t="s">
        <v>44</v>
      </c>
      <c r="K42" s="37"/>
      <c r="L42" s="28"/>
      <c r="M42" s="37" t="s">
        <v>27</v>
      </c>
      <c r="N42" s="37" t="s">
        <v>108</v>
      </c>
      <c r="O42" s="28"/>
      <c r="P42" s="32"/>
      <c r="Q42" s="28"/>
    </row>
    <row r="43" customFormat="false" ht="23.85" hidden="false" customHeight="false" outlineLevel="0" collapsed="false">
      <c r="A43" s="36" t="s">
        <v>353</v>
      </c>
      <c r="B43" s="37" t="n">
        <v>8</v>
      </c>
      <c r="C43" s="28" t="s">
        <v>354</v>
      </c>
      <c r="D43" s="37" t="s">
        <v>212</v>
      </c>
      <c r="E43" s="28" t="s">
        <v>270</v>
      </c>
      <c r="F43" s="37" t="n">
        <v>6</v>
      </c>
      <c r="G43" s="28" t="s">
        <v>355</v>
      </c>
      <c r="H43" s="28"/>
      <c r="I43" s="37" t="s">
        <v>200</v>
      </c>
      <c r="J43" s="37" t="s">
        <v>44</v>
      </c>
      <c r="K43" s="37"/>
      <c r="L43" s="28"/>
      <c r="M43" s="37" t="s">
        <v>27</v>
      </c>
      <c r="N43" s="37" t="s">
        <v>108</v>
      </c>
      <c r="O43" s="28"/>
      <c r="P43" s="32"/>
      <c r="Q43" s="28"/>
    </row>
    <row r="44" customFormat="false" ht="15" hidden="false" customHeight="false" outlineLevel="0" collapsed="false">
      <c r="A44" s="36" t="s">
        <v>356</v>
      </c>
      <c r="B44" s="37" t="n">
        <v>8</v>
      </c>
      <c r="C44" s="28" t="s">
        <v>357</v>
      </c>
      <c r="D44" s="37" t="s">
        <v>300</v>
      </c>
      <c r="E44" s="28" t="s">
        <v>203</v>
      </c>
      <c r="F44" s="37" t="n">
        <v>4</v>
      </c>
      <c r="G44" s="28" t="s">
        <v>358</v>
      </c>
      <c r="H44" s="28"/>
      <c r="I44" s="37" t="s">
        <v>200</v>
      </c>
      <c r="J44" s="37" t="s">
        <v>44</v>
      </c>
      <c r="K44" s="37"/>
      <c r="L44" s="28"/>
      <c r="M44" s="37" t="s">
        <v>27</v>
      </c>
      <c r="N44" s="37" t="s">
        <v>108</v>
      </c>
      <c r="O44" s="28"/>
      <c r="P44" s="32"/>
      <c r="Q44" s="28"/>
    </row>
    <row r="45" customFormat="false" ht="15" hidden="false" customHeight="false" outlineLevel="0" collapsed="false">
      <c r="A45" s="36" t="s">
        <v>359</v>
      </c>
      <c r="B45" s="37" t="n">
        <v>8</v>
      </c>
      <c r="C45" s="28" t="s">
        <v>360</v>
      </c>
      <c r="D45" s="37" t="s">
        <v>108</v>
      </c>
      <c r="E45" s="28" t="s">
        <v>259</v>
      </c>
      <c r="F45" s="37" t="n">
        <v>6</v>
      </c>
      <c r="G45" s="28" t="s">
        <v>361</v>
      </c>
      <c r="H45" s="28" t="s">
        <v>151</v>
      </c>
      <c r="I45" s="37" t="s">
        <v>200</v>
      </c>
      <c r="J45" s="37" t="s">
        <v>44</v>
      </c>
      <c r="K45" s="37"/>
      <c r="L45" s="28"/>
      <c r="M45" s="37" t="s">
        <v>27</v>
      </c>
      <c r="N45" s="37" t="s">
        <v>108</v>
      </c>
      <c r="O45" s="28"/>
      <c r="P45" s="32"/>
      <c r="Q45" s="28"/>
    </row>
    <row r="46" customFormat="false" ht="15" hidden="false" customHeight="false" outlineLevel="0" collapsed="false">
      <c r="A46" s="36" t="s">
        <v>362</v>
      </c>
      <c r="B46" s="37" t="n">
        <v>8</v>
      </c>
      <c r="C46" s="28" t="s">
        <v>363</v>
      </c>
      <c r="D46" s="37" t="s">
        <v>108</v>
      </c>
      <c r="E46" s="28" t="s">
        <v>203</v>
      </c>
      <c r="F46" s="37" t="n">
        <v>5</v>
      </c>
      <c r="G46" s="28" t="s">
        <v>364</v>
      </c>
      <c r="H46" s="28" t="s">
        <v>365</v>
      </c>
      <c r="I46" s="37" t="s">
        <v>200</v>
      </c>
      <c r="J46" s="37" t="s">
        <v>44</v>
      </c>
      <c r="K46" s="37"/>
      <c r="L46" s="28"/>
      <c r="M46" s="37" t="s">
        <v>27</v>
      </c>
      <c r="N46" s="37" t="s">
        <v>108</v>
      </c>
      <c r="O46" s="28"/>
      <c r="P46" s="32"/>
      <c r="Q46" s="28"/>
    </row>
    <row r="47" customFormat="false" ht="15" hidden="false" customHeight="false" outlineLevel="0" collapsed="false">
      <c r="A47" s="36" t="s">
        <v>366</v>
      </c>
      <c r="B47" s="37" t="n">
        <v>8</v>
      </c>
      <c r="C47" s="28" t="s">
        <v>367</v>
      </c>
      <c r="D47" s="37" t="s">
        <v>238</v>
      </c>
      <c r="E47" s="28" t="s">
        <v>203</v>
      </c>
      <c r="F47" s="37" t="n">
        <v>4</v>
      </c>
      <c r="G47" s="28" t="s">
        <v>368</v>
      </c>
      <c r="H47" s="28" t="s">
        <v>365</v>
      </c>
      <c r="I47" s="37" t="s">
        <v>200</v>
      </c>
      <c r="J47" s="37" t="s">
        <v>44</v>
      </c>
      <c r="K47" s="37"/>
      <c r="L47" s="28"/>
      <c r="M47" s="37" t="s">
        <v>27</v>
      </c>
      <c r="N47" s="37" t="s">
        <v>108</v>
      </c>
      <c r="O47" s="28"/>
      <c r="P47" s="32"/>
      <c r="Q47" s="28"/>
    </row>
    <row r="48" customFormat="false" ht="23.85" hidden="false" customHeight="false" outlineLevel="0" collapsed="false">
      <c r="A48" s="36" t="s">
        <v>369</v>
      </c>
      <c r="B48" s="37" t="n">
        <v>9</v>
      </c>
      <c r="C48" s="28" t="s">
        <v>370</v>
      </c>
      <c r="D48" s="37" t="s">
        <v>108</v>
      </c>
      <c r="E48" s="28" t="s">
        <v>371</v>
      </c>
      <c r="F48" s="37" t="n">
        <v>6</v>
      </c>
      <c r="G48" s="28" t="s">
        <v>372</v>
      </c>
      <c r="H48" s="28"/>
      <c r="I48" s="37" t="s">
        <v>200</v>
      </c>
      <c r="J48" s="37" t="s">
        <v>44</v>
      </c>
      <c r="K48" s="37"/>
      <c r="L48" s="28"/>
      <c r="M48" s="37" t="s">
        <v>27</v>
      </c>
      <c r="N48" s="37" t="s">
        <v>108</v>
      </c>
      <c r="O48" s="28"/>
      <c r="P48" s="32"/>
      <c r="Q48" s="28"/>
    </row>
    <row r="49" customFormat="false" ht="15" hidden="false" customHeight="false" outlineLevel="0" collapsed="false">
      <c r="A49" s="36" t="s">
        <v>373</v>
      </c>
      <c r="B49" s="37" t="n">
        <v>9</v>
      </c>
      <c r="C49" s="28" t="s">
        <v>226</v>
      </c>
      <c r="D49" s="37" t="s">
        <v>108</v>
      </c>
      <c r="E49" s="28" t="s">
        <v>374</v>
      </c>
      <c r="F49" s="37" t="n">
        <v>6</v>
      </c>
      <c r="G49" s="28" t="s">
        <v>375</v>
      </c>
      <c r="H49" s="28"/>
      <c r="I49" s="37" t="s">
        <v>200</v>
      </c>
      <c r="J49" s="37" t="s">
        <v>44</v>
      </c>
      <c r="K49" s="37"/>
      <c r="L49" s="28"/>
      <c r="M49" s="37" t="s">
        <v>27</v>
      </c>
      <c r="N49" s="37" t="s">
        <v>108</v>
      </c>
      <c r="O49" s="28"/>
      <c r="P49" s="32"/>
      <c r="Q49" s="28"/>
    </row>
    <row r="50" customFormat="false" ht="23.85" hidden="false" customHeight="false" outlineLevel="0" collapsed="false">
      <c r="A50" s="36" t="s">
        <v>376</v>
      </c>
      <c r="B50" s="37" t="n">
        <v>9</v>
      </c>
      <c r="C50" s="28" t="s">
        <v>377</v>
      </c>
      <c r="D50" s="37" t="s">
        <v>378</v>
      </c>
      <c r="E50" s="28" t="s">
        <v>203</v>
      </c>
      <c r="F50" s="37" t="n">
        <v>6</v>
      </c>
      <c r="G50" s="28" t="s">
        <v>379</v>
      </c>
      <c r="H50" s="28"/>
      <c r="I50" s="37" t="s">
        <v>200</v>
      </c>
      <c r="J50" s="37" t="s">
        <v>44</v>
      </c>
      <c r="K50" s="37"/>
      <c r="L50" s="28"/>
      <c r="M50" s="37" t="s">
        <v>27</v>
      </c>
      <c r="N50" s="37" t="s">
        <v>108</v>
      </c>
      <c r="O50" s="28"/>
      <c r="P50" s="32"/>
      <c r="Q50" s="28"/>
    </row>
    <row r="51" customFormat="false" ht="23.85" hidden="false" customHeight="false" outlineLevel="0" collapsed="false">
      <c r="A51" s="36" t="s">
        <v>380</v>
      </c>
      <c r="B51" s="37" t="n">
        <v>9</v>
      </c>
      <c r="C51" s="28" t="s">
        <v>381</v>
      </c>
      <c r="D51" s="37" t="s">
        <v>238</v>
      </c>
      <c r="E51" s="28" t="s">
        <v>203</v>
      </c>
      <c r="F51" s="37" t="n">
        <v>6</v>
      </c>
      <c r="G51" s="28" t="s">
        <v>239</v>
      </c>
      <c r="H51" s="28" t="s">
        <v>159</v>
      </c>
      <c r="I51" s="37" t="s">
        <v>200</v>
      </c>
      <c r="J51" s="37" t="s">
        <v>44</v>
      </c>
      <c r="K51" s="37"/>
      <c r="L51" s="28"/>
      <c r="M51" s="37" t="s">
        <v>27</v>
      </c>
      <c r="N51" s="37" t="s">
        <v>108</v>
      </c>
      <c r="O51" s="28"/>
      <c r="P51" s="32"/>
      <c r="Q51" s="28"/>
    </row>
    <row r="52" customFormat="false" ht="23.85" hidden="false" customHeight="false" outlineLevel="0" collapsed="false">
      <c r="A52" s="36" t="s">
        <v>382</v>
      </c>
      <c r="B52" s="37" t="n">
        <v>9</v>
      </c>
      <c r="C52" s="28" t="s">
        <v>383</v>
      </c>
      <c r="D52" s="37" t="s">
        <v>238</v>
      </c>
      <c r="E52" s="28" t="s">
        <v>203</v>
      </c>
      <c r="F52" s="37" t="n">
        <v>6</v>
      </c>
      <c r="G52" s="28" t="s">
        <v>243</v>
      </c>
      <c r="H52" s="28" t="s">
        <v>159</v>
      </c>
      <c r="I52" s="37" t="s">
        <v>200</v>
      </c>
      <c r="J52" s="37" t="s">
        <v>44</v>
      </c>
      <c r="K52" s="37"/>
      <c r="L52" s="28"/>
      <c r="M52" s="37" t="s">
        <v>27</v>
      </c>
      <c r="N52" s="37" t="s">
        <v>108</v>
      </c>
      <c r="O52" s="28"/>
      <c r="P52" s="32"/>
      <c r="Q52" s="28"/>
    </row>
    <row r="53" customFormat="false" ht="15" hidden="false" customHeight="false" outlineLevel="0" collapsed="false">
      <c r="A53" s="36" t="s">
        <v>384</v>
      </c>
      <c r="B53" s="37" t="n">
        <v>10</v>
      </c>
      <c r="C53" s="28" t="s">
        <v>385</v>
      </c>
      <c r="D53" s="37" t="s">
        <v>196</v>
      </c>
      <c r="E53" s="28" t="s">
        <v>203</v>
      </c>
      <c r="F53" s="37" t="n">
        <v>5</v>
      </c>
      <c r="G53" s="28" t="s">
        <v>386</v>
      </c>
      <c r="H53" s="28" t="s">
        <v>387</v>
      </c>
      <c r="I53" s="37" t="s">
        <v>200</v>
      </c>
      <c r="J53" s="37" t="s">
        <v>44</v>
      </c>
      <c r="K53" s="37"/>
      <c r="L53" s="28"/>
      <c r="M53" s="37" t="s">
        <v>27</v>
      </c>
      <c r="N53" s="37" t="s">
        <v>108</v>
      </c>
      <c r="O53" s="28"/>
      <c r="P53" s="32"/>
      <c r="Q53" s="28"/>
    </row>
    <row r="54" customFormat="false" ht="23.85" hidden="false" customHeight="false" outlineLevel="0" collapsed="false">
      <c r="A54" s="36" t="s">
        <v>388</v>
      </c>
      <c r="B54" s="37" t="n">
        <v>10</v>
      </c>
      <c r="C54" s="28" t="s">
        <v>389</v>
      </c>
      <c r="D54" s="37" t="s">
        <v>196</v>
      </c>
      <c r="E54" s="28" t="s">
        <v>311</v>
      </c>
      <c r="F54" s="37" t="n">
        <v>6</v>
      </c>
      <c r="G54" s="28" t="s">
        <v>390</v>
      </c>
      <c r="H54" s="28"/>
      <c r="I54" s="37" t="s">
        <v>200</v>
      </c>
      <c r="J54" s="37" t="s">
        <v>44</v>
      </c>
      <c r="K54" s="37"/>
      <c r="L54" s="28"/>
      <c r="M54" s="37" t="s">
        <v>27</v>
      </c>
      <c r="N54" s="37" t="s">
        <v>108</v>
      </c>
      <c r="O54" s="28"/>
      <c r="P54" s="32"/>
      <c r="Q54" s="28"/>
    </row>
    <row r="55" customFormat="false" ht="23.85" hidden="false" customHeight="false" outlineLevel="0" collapsed="false">
      <c r="A55" s="36" t="s">
        <v>391</v>
      </c>
      <c r="B55" s="37" t="n">
        <v>10</v>
      </c>
      <c r="C55" s="28" t="s">
        <v>392</v>
      </c>
      <c r="D55" s="37" t="s">
        <v>196</v>
      </c>
      <c r="E55" s="28" t="s">
        <v>311</v>
      </c>
      <c r="F55" s="37" t="n">
        <v>6</v>
      </c>
      <c r="G55" s="28" t="s">
        <v>393</v>
      </c>
      <c r="H55" s="28"/>
      <c r="I55" s="37" t="s">
        <v>200</v>
      </c>
      <c r="J55" s="37" t="s">
        <v>44</v>
      </c>
      <c r="K55" s="37"/>
      <c r="L55" s="28"/>
      <c r="M55" s="37" t="s">
        <v>27</v>
      </c>
      <c r="N55" s="37" t="s">
        <v>108</v>
      </c>
      <c r="O55" s="28"/>
      <c r="P55" s="32"/>
      <c r="Q55" s="28"/>
    </row>
    <row r="56" customFormat="false" ht="23.85" hidden="false" customHeight="false" outlineLevel="0" collapsed="false">
      <c r="A56" s="36" t="s">
        <v>394</v>
      </c>
      <c r="B56" s="37" t="n">
        <v>10</v>
      </c>
      <c r="C56" s="28" t="s">
        <v>395</v>
      </c>
      <c r="D56" s="37" t="s">
        <v>108</v>
      </c>
      <c r="E56" s="28" t="s">
        <v>203</v>
      </c>
      <c r="F56" s="37" t="n">
        <v>4</v>
      </c>
      <c r="G56" s="28" t="s">
        <v>396</v>
      </c>
      <c r="H56" s="28"/>
      <c r="I56" s="37" t="s">
        <v>200</v>
      </c>
      <c r="J56" s="37" t="s">
        <v>44</v>
      </c>
      <c r="K56" s="37"/>
      <c r="L56" s="28"/>
      <c r="M56" s="37" t="s">
        <v>27</v>
      </c>
      <c r="N56" s="37" t="s">
        <v>108</v>
      </c>
      <c r="O56" s="28"/>
      <c r="P56" s="32"/>
      <c r="Q56" s="28"/>
    </row>
    <row r="57" customFormat="false" ht="15" hidden="false" customHeight="false" outlineLevel="0" collapsed="false">
      <c r="A57" s="36" t="s">
        <v>397</v>
      </c>
      <c r="B57" s="37" t="n">
        <v>10</v>
      </c>
      <c r="C57" s="28" t="s">
        <v>398</v>
      </c>
      <c r="D57" s="37" t="s">
        <v>238</v>
      </c>
      <c r="E57" s="28" t="s">
        <v>203</v>
      </c>
      <c r="F57" s="37" t="n">
        <v>4</v>
      </c>
      <c r="G57" s="28" t="s">
        <v>399</v>
      </c>
      <c r="H57" s="28" t="s">
        <v>256</v>
      </c>
      <c r="I57" s="37" t="s">
        <v>200</v>
      </c>
      <c r="J57" s="37" t="s">
        <v>44</v>
      </c>
      <c r="K57" s="37"/>
      <c r="L57" s="28"/>
      <c r="M57" s="37" t="s">
        <v>27</v>
      </c>
      <c r="N57" s="37" t="s">
        <v>108</v>
      </c>
      <c r="O57" s="28"/>
      <c r="P57" s="32"/>
      <c r="Q57" s="28"/>
    </row>
    <row r="58" customFormat="false" ht="23.85" hidden="false" customHeight="false" outlineLevel="0" collapsed="false">
      <c r="A58" s="36" t="s">
        <v>400</v>
      </c>
      <c r="B58" s="37" t="n">
        <v>10</v>
      </c>
      <c r="C58" s="28" t="s">
        <v>401</v>
      </c>
      <c r="D58" s="37" t="s">
        <v>196</v>
      </c>
      <c r="E58" s="28" t="s">
        <v>203</v>
      </c>
      <c r="F58" s="37" t="n">
        <v>5</v>
      </c>
      <c r="G58" s="28" t="s">
        <v>402</v>
      </c>
      <c r="H58" s="28"/>
      <c r="I58" s="37" t="s">
        <v>200</v>
      </c>
      <c r="J58" s="37" t="s">
        <v>44</v>
      </c>
      <c r="K58" s="37"/>
      <c r="L58" s="28"/>
      <c r="M58" s="37" t="s">
        <v>27</v>
      </c>
      <c r="N58" s="37" t="s">
        <v>108</v>
      </c>
      <c r="O58" s="28"/>
      <c r="P58" s="32"/>
      <c r="Q58" s="28"/>
    </row>
    <row r="59" customFormat="false" ht="23.85" hidden="false" customHeight="false" outlineLevel="0" collapsed="false">
      <c r="A59" s="36" t="s">
        <v>403</v>
      </c>
      <c r="B59" s="37" t="n">
        <v>11</v>
      </c>
      <c r="C59" s="28" t="s">
        <v>404</v>
      </c>
      <c r="D59" s="37" t="s">
        <v>196</v>
      </c>
      <c r="E59" s="28" t="s">
        <v>405</v>
      </c>
      <c r="F59" s="37" t="n">
        <v>4</v>
      </c>
      <c r="G59" s="28" t="s">
        <v>406</v>
      </c>
      <c r="H59" s="28" t="s">
        <v>407</v>
      </c>
      <c r="I59" s="37" t="s">
        <v>200</v>
      </c>
      <c r="J59" s="37" t="s">
        <v>44</v>
      </c>
      <c r="K59" s="37"/>
      <c r="L59" s="28"/>
      <c r="M59" s="37" t="s">
        <v>27</v>
      </c>
      <c r="N59" s="37" t="s">
        <v>99</v>
      </c>
      <c r="O59" s="28"/>
      <c r="P59" s="32"/>
      <c r="Q59" s="28"/>
    </row>
    <row r="60" customFormat="false" ht="15" hidden="false" customHeight="false" outlineLevel="0" collapsed="false">
      <c r="A60" s="36" t="s">
        <v>408</v>
      </c>
      <c r="B60" s="37" t="n">
        <v>11</v>
      </c>
      <c r="C60" s="28" t="s">
        <v>409</v>
      </c>
      <c r="D60" s="37" t="s">
        <v>196</v>
      </c>
      <c r="E60" s="28" t="s">
        <v>203</v>
      </c>
      <c r="F60" s="37" t="n">
        <v>5</v>
      </c>
      <c r="G60" s="28" t="s">
        <v>410</v>
      </c>
      <c r="H60" s="28" t="s">
        <v>411</v>
      </c>
      <c r="I60" s="37" t="s">
        <v>200</v>
      </c>
      <c r="J60" s="37" t="s">
        <v>44</v>
      </c>
      <c r="K60" s="37"/>
      <c r="L60" s="28"/>
      <c r="M60" s="37" t="s">
        <v>27</v>
      </c>
      <c r="N60" s="37" t="s">
        <v>99</v>
      </c>
      <c r="O60" s="28"/>
      <c r="P60" s="32"/>
      <c r="Q60" s="28"/>
    </row>
    <row r="61" customFormat="false" ht="23.85" hidden="false" customHeight="false" outlineLevel="0" collapsed="false">
      <c r="A61" s="36" t="s">
        <v>412</v>
      </c>
      <c r="B61" s="37" t="n">
        <v>11</v>
      </c>
      <c r="C61" s="28" t="s">
        <v>413</v>
      </c>
      <c r="D61" s="37" t="s">
        <v>108</v>
      </c>
      <c r="E61" s="28" t="s">
        <v>203</v>
      </c>
      <c r="F61" s="37" t="n">
        <v>5</v>
      </c>
      <c r="G61" s="28" t="s">
        <v>414</v>
      </c>
      <c r="H61" s="28"/>
      <c r="I61" s="37" t="s">
        <v>200</v>
      </c>
      <c r="J61" s="37" t="s">
        <v>44</v>
      </c>
      <c r="K61" s="37"/>
      <c r="L61" s="28"/>
      <c r="M61" s="37" t="s">
        <v>27</v>
      </c>
      <c r="N61" s="37" t="s">
        <v>99</v>
      </c>
      <c r="O61" s="28"/>
      <c r="P61" s="32"/>
      <c r="Q61" s="28"/>
    </row>
    <row r="62" customFormat="false" ht="23.85" hidden="false" customHeight="false" outlineLevel="0" collapsed="false">
      <c r="A62" s="36" t="s">
        <v>415</v>
      </c>
      <c r="B62" s="37" t="n">
        <v>11</v>
      </c>
      <c r="C62" s="28" t="s">
        <v>416</v>
      </c>
      <c r="D62" s="37" t="s">
        <v>108</v>
      </c>
      <c r="E62" s="28" t="s">
        <v>203</v>
      </c>
      <c r="F62" s="37" t="n">
        <v>5</v>
      </c>
      <c r="G62" s="28" t="s">
        <v>417</v>
      </c>
      <c r="H62" s="28" t="s">
        <v>256</v>
      </c>
      <c r="I62" s="37" t="s">
        <v>200</v>
      </c>
      <c r="J62" s="37" t="s">
        <v>44</v>
      </c>
      <c r="K62" s="37"/>
      <c r="L62" s="28"/>
      <c r="M62" s="37" t="s">
        <v>27</v>
      </c>
      <c r="N62" s="37" t="s">
        <v>99</v>
      </c>
      <c r="O62" s="28"/>
      <c r="P62" s="32"/>
      <c r="Q62" s="28"/>
    </row>
    <row r="63" customFormat="false" ht="23.85" hidden="false" customHeight="false" outlineLevel="0" collapsed="false">
      <c r="A63" s="36" t="s">
        <v>418</v>
      </c>
      <c r="B63" s="37" t="n">
        <v>11</v>
      </c>
      <c r="C63" s="28" t="s">
        <v>419</v>
      </c>
      <c r="D63" s="37" t="s">
        <v>108</v>
      </c>
      <c r="E63" s="28" t="s">
        <v>231</v>
      </c>
      <c r="F63" s="37" t="n">
        <v>4</v>
      </c>
      <c r="G63" s="28" t="s">
        <v>420</v>
      </c>
      <c r="H63" s="28"/>
      <c r="I63" s="37" t="s">
        <v>200</v>
      </c>
      <c r="J63" s="37" t="s">
        <v>44</v>
      </c>
      <c r="K63" s="37"/>
      <c r="L63" s="28"/>
      <c r="M63" s="37" t="s">
        <v>27</v>
      </c>
      <c r="N63" s="37" t="s">
        <v>99</v>
      </c>
      <c r="O63" s="28"/>
      <c r="P63" s="32"/>
      <c r="Q63" s="28"/>
    </row>
    <row r="64" customFormat="false" ht="23.85" hidden="false" customHeight="false" outlineLevel="0" collapsed="false">
      <c r="A64" s="36" t="s">
        <v>421</v>
      </c>
      <c r="B64" s="37" t="n">
        <v>11</v>
      </c>
      <c r="C64" s="28" t="s">
        <v>422</v>
      </c>
      <c r="D64" s="37" t="s">
        <v>378</v>
      </c>
      <c r="E64" s="28" t="s">
        <v>203</v>
      </c>
      <c r="F64" s="37" t="n">
        <v>10</v>
      </c>
      <c r="G64" s="28" t="s">
        <v>423</v>
      </c>
      <c r="H64" s="28" t="s">
        <v>424</v>
      </c>
      <c r="I64" s="37" t="s">
        <v>200</v>
      </c>
      <c r="J64" s="37" t="s">
        <v>44</v>
      </c>
      <c r="K64" s="37"/>
      <c r="L64" s="28"/>
      <c r="M64" s="37" t="s">
        <v>27</v>
      </c>
      <c r="N64" s="37" t="s">
        <v>99</v>
      </c>
      <c r="O64" s="28"/>
      <c r="P64" s="32"/>
      <c r="Q64" s="28"/>
    </row>
    <row r="65" customFormat="false" ht="15" hidden="false" customHeight="false" outlineLevel="0" collapsed="false">
      <c r="A65" s="36" t="s">
        <v>425</v>
      </c>
      <c r="B65" s="37" t="n">
        <v>11</v>
      </c>
      <c r="C65" s="28" t="s">
        <v>426</v>
      </c>
      <c r="D65" s="37" t="s">
        <v>238</v>
      </c>
      <c r="E65" s="28" t="s">
        <v>203</v>
      </c>
      <c r="F65" s="37" t="n">
        <v>7</v>
      </c>
      <c r="G65" s="28" t="s">
        <v>368</v>
      </c>
      <c r="H65" s="28" t="s">
        <v>427</v>
      </c>
      <c r="I65" s="37" t="s">
        <v>200</v>
      </c>
      <c r="J65" s="37" t="s">
        <v>44</v>
      </c>
      <c r="K65" s="37"/>
      <c r="L65" s="28"/>
      <c r="M65" s="37" t="s">
        <v>27</v>
      </c>
      <c r="N65" s="37" t="s">
        <v>99</v>
      </c>
      <c r="O65" s="28"/>
      <c r="P65" s="32"/>
      <c r="Q65" s="28"/>
    </row>
    <row r="66" customFormat="false" ht="15" hidden="false" customHeight="false" outlineLevel="0" collapsed="false">
      <c r="A66" s="36" t="s">
        <v>428</v>
      </c>
      <c r="B66" s="37" t="n">
        <v>12</v>
      </c>
      <c r="C66" s="28" t="s">
        <v>429</v>
      </c>
      <c r="D66" s="37" t="s">
        <v>196</v>
      </c>
      <c r="E66" s="28" t="s">
        <v>231</v>
      </c>
      <c r="F66" s="37" t="n">
        <v>5</v>
      </c>
      <c r="G66" s="28" t="s">
        <v>430</v>
      </c>
      <c r="H66" s="28" t="s">
        <v>431</v>
      </c>
      <c r="I66" s="37" t="s">
        <v>200</v>
      </c>
      <c r="J66" s="37" t="s">
        <v>44</v>
      </c>
      <c r="K66" s="37"/>
      <c r="L66" s="28"/>
      <c r="M66" s="37" t="s">
        <v>27</v>
      </c>
      <c r="N66" s="37" t="s">
        <v>99</v>
      </c>
      <c r="O66" s="28"/>
      <c r="P66" s="32"/>
      <c r="Q66" s="28"/>
    </row>
    <row r="67" customFormat="false" ht="23.85" hidden="false" customHeight="false" outlineLevel="0" collapsed="false">
      <c r="A67" s="36" t="s">
        <v>432</v>
      </c>
      <c r="B67" s="37" t="n">
        <v>12</v>
      </c>
      <c r="C67" s="28" t="s">
        <v>433</v>
      </c>
      <c r="D67" s="37" t="s">
        <v>196</v>
      </c>
      <c r="E67" s="28" t="s">
        <v>434</v>
      </c>
      <c r="F67" s="37" t="n">
        <v>5</v>
      </c>
      <c r="G67" s="28" t="s">
        <v>435</v>
      </c>
      <c r="H67" s="28"/>
      <c r="I67" s="37" t="s">
        <v>200</v>
      </c>
      <c r="J67" s="37" t="s">
        <v>44</v>
      </c>
      <c r="K67" s="37"/>
      <c r="L67" s="28"/>
      <c r="M67" s="37" t="s">
        <v>27</v>
      </c>
      <c r="N67" s="37" t="s">
        <v>99</v>
      </c>
      <c r="O67" s="28"/>
      <c r="P67" s="32"/>
      <c r="Q67" s="28"/>
    </row>
    <row r="68" customFormat="false" ht="23.85" hidden="false" customHeight="false" outlineLevel="0" collapsed="false">
      <c r="A68" s="36" t="s">
        <v>436</v>
      </c>
      <c r="B68" s="37" t="n">
        <v>12</v>
      </c>
      <c r="C68" s="28" t="s">
        <v>437</v>
      </c>
      <c r="D68" s="37" t="s">
        <v>108</v>
      </c>
      <c r="E68" s="28" t="s">
        <v>203</v>
      </c>
      <c r="F68" s="37" t="n">
        <v>4</v>
      </c>
      <c r="G68" s="28" t="s">
        <v>438</v>
      </c>
      <c r="H68" s="28"/>
      <c r="I68" s="37" t="s">
        <v>200</v>
      </c>
      <c r="J68" s="37" t="s">
        <v>44</v>
      </c>
      <c r="K68" s="37"/>
      <c r="L68" s="28"/>
      <c r="M68" s="37" t="s">
        <v>27</v>
      </c>
      <c r="N68" s="37" t="s">
        <v>99</v>
      </c>
      <c r="O68" s="28"/>
      <c r="P68" s="32"/>
      <c r="Q68" s="28"/>
    </row>
    <row r="69" customFormat="false" ht="15" hidden="false" customHeight="false" outlineLevel="0" collapsed="false">
      <c r="A69" s="36" t="s">
        <v>439</v>
      </c>
      <c r="B69" s="37" t="n">
        <v>12</v>
      </c>
      <c r="C69" s="28" t="s">
        <v>440</v>
      </c>
      <c r="D69" s="37" t="s">
        <v>212</v>
      </c>
      <c r="E69" s="28" t="s">
        <v>203</v>
      </c>
      <c r="F69" s="37" t="n">
        <v>2</v>
      </c>
      <c r="G69" s="28" t="s">
        <v>441</v>
      </c>
      <c r="H69" s="28"/>
      <c r="I69" s="37" t="s">
        <v>200</v>
      </c>
      <c r="J69" s="37" t="s">
        <v>44</v>
      </c>
      <c r="K69" s="37"/>
      <c r="L69" s="28"/>
      <c r="M69" s="37" t="s">
        <v>27</v>
      </c>
      <c r="N69" s="37" t="s">
        <v>99</v>
      </c>
      <c r="O69" s="28"/>
      <c r="P69" s="32"/>
      <c r="Q69" s="28"/>
    </row>
    <row r="70" customFormat="false" ht="15" hidden="false" customHeight="false" outlineLevel="0" collapsed="false">
      <c r="A70" s="36" t="s">
        <v>442</v>
      </c>
      <c r="B70" s="37" t="n">
        <v>12</v>
      </c>
      <c r="C70" s="28" t="s">
        <v>443</v>
      </c>
      <c r="D70" s="37" t="s">
        <v>108</v>
      </c>
      <c r="E70" s="28" t="s">
        <v>444</v>
      </c>
      <c r="F70" s="37" t="n">
        <v>4</v>
      </c>
      <c r="G70" s="28" t="s">
        <v>445</v>
      </c>
      <c r="H70" s="28" t="s">
        <v>180</v>
      </c>
      <c r="I70" s="37" t="s">
        <v>200</v>
      </c>
      <c r="J70" s="37" t="s">
        <v>44</v>
      </c>
      <c r="K70" s="37"/>
      <c r="L70" s="28"/>
      <c r="M70" s="37" t="s">
        <v>27</v>
      </c>
      <c r="N70" s="37" t="s">
        <v>99</v>
      </c>
      <c r="O70" s="28"/>
      <c r="P70" s="32"/>
      <c r="Q70" s="28"/>
    </row>
    <row r="71" customFormat="false" ht="15" hidden="false" customHeight="false" outlineLevel="0" collapsed="false">
      <c r="P71" s="33"/>
    </row>
    <row r="72" customFormat="false" ht="15" hidden="false" customHeight="false" outlineLevel="0" collapsed="false">
      <c r="P72" s="33"/>
    </row>
    <row r="73" customFormat="false" ht="15" hidden="false" customHeight="false" outlineLevel="0" collapsed="false">
      <c r="P73" s="33"/>
    </row>
    <row r="74" customFormat="false" ht="15" hidden="false" customHeight="false" outlineLevel="0" collapsed="false">
      <c r="P74" s="33"/>
    </row>
    <row r="75" customFormat="false" ht="15" hidden="false" customHeight="false" outlineLevel="0" collapsed="false">
      <c r="P75" s="33"/>
    </row>
    <row r="76" customFormat="false" ht="15" hidden="false" customHeight="false" outlineLevel="0" collapsed="false">
      <c r="P76" s="33"/>
    </row>
    <row r="77" customFormat="false" ht="15" hidden="false" customHeight="false" outlineLevel="0" collapsed="false">
      <c r="P77" s="33"/>
    </row>
    <row r="78" customFormat="false" ht="15" hidden="false" customHeight="false" outlineLevel="0" collapsed="false">
      <c r="P78" s="33"/>
    </row>
    <row r="79" customFormat="false" ht="15" hidden="false" customHeight="false" outlineLevel="0" collapsed="false">
      <c r="P79" s="33"/>
    </row>
    <row r="80" customFormat="false" ht="15" hidden="false" customHeight="false" outlineLevel="0" collapsed="false">
      <c r="P80" s="33"/>
    </row>
    <row r="81" customFormat="false" ht="15" hidden="false" customHeight="false" outlineLevel="0" collapsed="false">
      <c r="P81" s="33"/>
    </row>
    <row r="82" customFormat="false" ht="15" hidden="false" customHeight="false" outlineLevel="0" collapsed="false">
      <c r="P82" s="33"/>
    </row>
    <row r="83" customFormat="false" ht="15" hidden="false" customHeight="false" outlineLevel="0" collapsed="false">
      <c r="P83" s="33"/>
    </row>
    <row r="84" customFormat="false" ht="15" hidden="false" customHeight="false" outlineLevel="0" collapsed="false">
      <c r="P84" s="33"/>
    </row>
    <row r="85" customFormat="false" ht="15" hidden="false" customHeight="false" outlineLevel="0" collapsed="false">
      <c r="P85" s="33"/>
    </row>
    <row r="86" customFormat="false" ht="15" hidden="false" customHeight="false" outlineLevel="0" collapsed="false">
      <c r="P86" s="33"/>
    </row>
    <row r="87" customFormat="false" ht="15" hidden="false" customHeight="false" outlineLevel="0" collapsed="false">
      <c r="P87" s="33"/>
    </row>
    <row r="88" customFormat="false" ht="15" hidden="false" customHeight="false" outlineLevel="0" collapsed="false">
      <c r="P88" s="33"/>
    </row>
    <row r="89" customFormat="false" ht="15" hidden="false" customHeight="false" outlineLevel="0" collapsed="false">
      <c r="P89" s="33"/>
    </row>
    <row r="90" customFormat="false" ht="15" hidden="false" customHeight="false" outlineLevel="0" collapsed="false">
      <c r="P90" s="33"/>
    </row>
    <row r="91" customFormat="false" ht="15" hidden="false" customHeight="false" outlineLevel="0" collapsed="false">
      <c r="P91" s="33"/>
    </row>
    <row r="92" customFormat="false" ht="15" hidden="false" customHeight="false" outlineLevel="0" collapsed="false">
      <c r="P92" s="33"/>
    </row>
    <row r="93" customFormat="false" ht="15" hidden="false" customHeight="false" outlineLevel="0" collapsed="false">
      <c r="P93" s="33"/>
    </row>
    <row r="94" customFormat="false" ht="15" hidden="false" customHeight="false" outlineLevel="0" collapsed="false">
      <c r="P94" s="33"/>
    </row>
    <row r="95" customFormat="false" ht="15" hidden="false" customHeight="false" outlineLevel="0" collapsed="false">
      <c r="P95" s="33"/>
    </row>
    <row r="96" customFormat="false" ht="15" hidden="false" customHeight="false" outlineLevel="0" collapsed="false">
      <c r="P96" s="33"/>
    </row>
    <row r="97" customFormat="false" ht="15" hidden="false" customHeight="false" outlineLevel="0" collapsed="false">
      <c r="P97" s="33"/>
    </row>
    <row r="98" customFormat="false" ht="15" hidden="false" customHeight="false" outlineLevel="0" collapsed="false">
      <c r="P98" s="33"/>
    </row>
    <row r="99" customFormat="false" ht="15" hidden="false" customHeight="false" outlineLevel="0" collapsed="false">
      <c r="P99" s="33"/>
    </row>
    <row r="100" customFormat="false" ht="15" hidden="false" customHeight="false" outlineLevel="0" collapsed="false">
      <c r="P100" s="33"/>
    </row>
    <row r="101" customFormat="false" ht="15" hidden="false" customHeight="false" outlineLevel="0" collapsed="false">
      <c r="P101" s="33"/>
    </row>
    <row r="102" customFormat="false" ht="15" hidden="false" customHeight="false" outlineLevel="0" collapsed="false">
      <c r="P102" s="33"/>
    </row>
    <row r="103" customFormat="false" ht="15" hidden="false" customHeight="false" outlineLevel="0" collapsed="false">
      <c r="P103" s="33"/>
    </row>
    <row r="104" customFormat="false" ht="15" hidden="false" customHeight="false" outlineLevel="0" collapsed="false">
      <c r="P104" s="33"/>
    </row>
    <row r="105" customFormat="false" ht="15" hidden="false" customHeight="false" outlineLevel="0" collapsed="false">
      <c r="P105" s="33"/>
    </row>
    <row r="106" customFormat="false" ht="15" hidden="false" customHeight="false" outlineLevel="0" collapsed="false">
      <c r="P106" s="33"/>
    </row>
    <row r="107" customFormat="false" ht="15" hidden="false" customHeight="false" outlineLevel="0" collapsed="false">
      <c r="P107" s="33"/>
    </row>
    <row r="108" customFormat="false" ht="15" hidden="false" customHeight="false" outlineLevel="0" collapsed="false">
      <c r="P108" s="33"/>
    </row>
    <row r="109" customFormat="false" ht="15" hidden="false" customHeight="false" outlineLevel="0" collapsed="false">
      <c r="P109" s="33"/>
    </row>
    <row r="110" customFormat="false" ht="15" hidden="false" customHeight="false" outlineLevel="0" collapsed="false">
      <c r="P110" s="33"/>
    </row>
    <row r="111" customFormat="false" ht="15" hidden="false" customHeight="false" outlineLevel="0" collapsed="false">
      <c r="P111" s="33"/>
    </row>
    <row r="112" customFormat="false" ht="15" hidden="false" customHeight="false" outlineLevel="0" collapsed="false">
      <c r="P112" s="33"/>
    </row>
    <row r="113" customFormat="false" ht="15" hidden="false" customHeight="false" outlineLevel="0" collapsed="false">
      <c r="P113" s="33"/>
    </row>
    <row r="114" customFormat="false" ht="15" hidden="false" customHeight="false" outlineLevel="0" collapsed="false">
      <c r="P114" s="33"/>
    </row>
    <row r="115" customFormat="false" ht="15" hidden="false" customHeight="false" outlineLevel="0" collapsed="false">
      <c r="P115" s="33"/>
    </row>
    <row r="116" customFormat="false" ht="15" hidden="false" customHeight="false" outlineLevel="0" collapsed="false">
      <c r="P116" s="33"/>
    </row>
    <row r="117" customFormat="false" ht="15" hidden="false" customHeight="false" outlineLevel="0" collapsed="false">
      <c r="P117" s="33"/>
    </row>
    <row r="118" customFormat="false" ht="15" hidden="false" customHeight="false" outlineLevel="0" collapsed="false">
      <c r="P118" s="33"/>
    </row>
    <row r="119" customFormat="false" ht="15" hidden="false" customHeight="false" outlineLevel="0" collapsed="false">
      <c r="P119" s="33"/>
    </row>
    <row r="120" customFormat="false" ht="15" hidden="false" customHeight="false" outlineLevel="0" collapsed="false">
      <c r="P120" s="33"/>
    </row>
    <row r="121" customFormat="false" ht="15" hidden="false" customHeight="false" outlineLevel="0" collapsed="false">
      <c r="P121" s="33"/>
    </row>
    <row r="122" customFormat="false" ht="15" hidden="false" customHeight="false" outlineLevel="0" collapsed="false">
      <c r="P122" s="33"/>
    </row>
    <row r="123" customFormat="false" ht="15" hidden="false" customHeight="false" outlineLevel="0" collapsed="false">
      <c r="P123" s="33"/>
    </row>
    <row r="124" customFormat="false" ht="15" hidden="false" customHeight="false" outlineLevel="0" collapsed="false">
      <c r="P124" s="33"/>
    </row>
    <row r="125" customFormat="false" ht="15" hidden="false" customHeight="false" outlineLevel="0" collapsed="false">
      <c r="P125" s="33"/>
    </row>
    <row r="126" customFormat="false" ht="15" hidden="false" customHeight="false" outlineLevel="0" collapsed="false">
      <c r="P126" s="33"/>
    </row>
    <row r="127" customFormat="false" ht="15" hidden="false" customHeight="false" outlineLevel="0" collapsed="false">
      <c r="P127" s="33"/>
    </row>
    <row r="128" customFormat="false" ht="15" hidden="false" customHeight="false" outlineLevel="0" collapsed="false">
      <c r="P128" s="33"/>
    </row>
    <row r="129" customFormat="false" ht="15" hidden="false" customHeight="false" outlineLevel="0" collapsed="false">
      <c r="P129" s="33"/>
    </row>
    <row r="130" customFormat="false" ht="15" hidden="false" customHeight="false" outlineLevel="0" collapsed="false">
      <c r="P130" s="33"/>
    </row>
    <row r="131" customFormat="false" ht="15" hidden="false" customHeight="false" outlineLevel="0" collapsed="false">
      <c r="P131" s="33"/>
    </row>
    <row r="132" customFormat="false" ht="15" hidden="false" customHeight="false" outlineLevel="0" collapsed="false">
      <c r="P132" s="33"/>
    </row>
    <row r="133" customFormat="false" ht="15" hidden="false" customHeight="false" outlineLevel="0" collapsed="false">
      <c r="P133" s="33"/>
    </row>
    <row r="134" customFormat="false" ht="15" hidden="false" customHeight="false" outlineLevel="0" collapsed="false">
      <c r="P134" s="33"/>
    </row>
    <row r="135" customFormat="false" ht="15" hidden="false" customHeight="false" outlineLevel="0" collapsed="false">
      <c r="P135" s="33"/>
    </row>
    <row r="136" customFormat="false" ht="15" hidden="false" customHeight="false" outlineLevel="0" collapsed="false">
      <c r="P136" s="33"/>
    </row>
    <row r="137" customFormat="false" ht="15" hidden="false" customHeight="false" outlineLevel="0" collapsed="false">
      <c r="P137" s="33"/>
    </row>
    <row r="138" customFormat="false" ht="15" hidden="false" customHeight="false" outlineLevel="0" collapsed="false">
      <c r="P138" s="33"/>
    </row>
    <row r="139" customFormat="false" ht="15" hidden="false" customHeight="false" outlineLevel="0" collapsed="false">
      <c r="P139" s="33"/>
    </row>
    <row r="140" customFormat="false" ht="15" hidden="false" customHeight="false" outlineLevel="0" collapsed="false">
      <c r="P140" s="33"/>
    </row>
    <row r="141" customFormat="false" ht="15" hidden="false" customHeight="false" outlineLevel="0" collapsed="false">
      <c r="P141" s="33"/>
    </row>
    <row r="142" customFormat="false" ht="15" hidden="false" customHeight="false" outlineLevel="0" collapsed="false">
      <c r="P142" s="33"/>
    </row>
    <row r="143" customFormat="false" ht="15" hidden="false" customHeight="false" outlineLevel="0" collapsed="false">
      <c r="P143" s="33"/>
    </row>
    <row r="144" customFormat="false" ht="15" hidden="false" customHeight="false" outlineLevel="0" collapsed="false">
      <c r="P144" s="33"/>
    </row>
    <row r="145" customFormat="false" ht="15" hidden="false" customHeight="false" outlineLevel="0" collapsed="false">
      <c r="P145" s="33"/>
    </row>
    <row r="146" customFormat="false" ht="15" hidden="false" customHeight="false" outlineLevel="0" collapsed="false">
      <c r="P146" s="33"/>
    </row>
    <row r="147" customFormat="false" ht="15" hidden="false" customHeight="false" outlineLevel="0" collapsed="false">
      <c r="P147" s="33"/>
    </row>
    <row r="148" customFormat="false" ht="15" hidden="false" customHeight="false" outlineLevel="0" collapsed="false">
      <c r="P148" s="33"/>
    </row>
    <row r="149" customFormat="false" ht="15" hidden="false" customHeight="false" outlineLevel="0" collapsed="false">
      <c r="P149" s="33"/>
    </row>
    <row r="150" customFormat="false" ht="15" hidden="false" customHeight="false" outlineLevel="0" collapsed="false">
      <c r="P150" s="33"/>
    </row>
    <row r="151" customFormat="false" ht="15" hidden="false" customHeight="false" outlineLevel="0" collapsed="false">
      <c r="P151" s="33"/>
    </row>
    <row r="152" customFormat="false" ht="15" hidden="false" customHeight="false" outlineLevel="0" collapsed="false">
      <c r="P152" s="33"/>
    </row>
    <row r="153" customFormat="false" ht="15" hidden="false" customHeight="false" outlineLevel="0" collapsed="false">
      <c r="P153" s="33"/>
    </row>
    <row r="154" customFormat="false" ht="15" hidden="false" customHeight="false" outlineLevel="0" collapsed="false">
      <c r="P154" s="33"/>
    </row>
    <row r="155" customFormat="false" ht="15" hidden="false" customHeight="false" outlineLevel="0" collapsed="false">
      <c r="P155" s="33"/>
    </row>
    <row r="156" customFormat="false" ht="15" hidden="false" customHeight="false" outlineLevel="0" collapsed="false">
      <c r="P156" s="33"/>
    </row>
    <row r="157" customFormat="false" ht="15" hidden="false" customHeight="false" outlineLevel="0" collapsed="false">
      <c r="P157" s="33"/>
    </row>
    <row r="158" customFormat="false" ht="15" hidden="false" customHeight="false" outlineLevel="0" collapsed="false">
      <c r="P158" s="33"/>
    </row>
    <row r="159" customFormat="false" ht="15" hidden="false" customHeight="false" outlineLevel="0" collapsed="false">
      <c r="P159" s="33"/>
    </row>
    <row r="160" customFormat="false" ht="15" hidden="false" customHeight="false" outlineLevel="0" collapsed="false">
      <c r="P160" s="33"/>
    </row>
    <row r="161" customFormat="false" ht="15" hidden="false" customHeight="false" outlineLevel="0" collapsed="false">
      <c r="P161" s="33"/>
    </row>
    <row r="162" customFormat="false" ht="15" hidden="false" customHeight="false" outlineLevel="0" collapsed="false">
      <c r="P162" s="33"/>
    </row>
    <row r="163" customFormat="false" ht="15" hidden="false" customHeight="false" outlineLevel="0" collapsed="false">
      <c r="P163" s="33"/>
    </row>
    <row r="164" customFormat="false" ht="15" hidden="false" customHeight="false" outlineLevel="0" collapsed="false">
      <c r="P164" s="33"/>
    </row>
    <row r="165" customFormat="false" ht="15" hidden="false" customHeight="false" outlineLevel="0" collapsed="false">
      <c r="P165" s="33"/>
    </row>
    <row r="166" customFormat="false" ht="15" hidden="false" customHeight="false" outlineLevel="0" collapsed="false">
      <c r="P166" s="33"/>
    </row>
    <row r="167" customFormat="false" ht="15" hidden="false" customHeight="false" outlineLevel="0" collapsed="false">
      <c r="P167" s="33"/>
    </row>
    <row r="168" customFormat="false" ht="15" hidden="false" customHeight="false" outlineLevel="0" collapsed="false">
      <c r="P168" s="33"/>
    </row>
    <row r="169" customFormat="false" ht="15" hidden="false" customHeight="false" outlineLevel="0" collapsed="false">
      <c r="P169" s="33"/>
    </row>
    <row r="170" customFormat="false" ht="15" hidden="false" customHeight="false" outlineLevel="0" collapsed="false">
      <c r="P170" s="33"/>
    </row>
    <row r="171" customFormat="false" ht="15" hidden="false" customHeight="false" outlineLevel="0" collapsed="false">
      <c r="P171" s="33"/>
    </row>
    <row r="172" customFormat="false" ht="15" hidden="false" customHeight="false" outlineLevel="0" collapsed="false">
      <c r="P172" s="33"/>
    </row>
    <row r="173" customFormat="false" ht="15" hidden="false" customHeight="false" outlineLevel="0" collapsed="false">
      <c r="P173" s="33"/>
    </row>
    <row r="174" customFormat="false" ht="15" hidden="false" customHeight="false" outlineLevel="0" collapsed="false">
      <c r="P174" s="33"/>
    </row>
    <row r="175" customFormat="false" ht="15" hidden="false" customHeight="false" outlineLevel="0" collapsed="false">
      <c r="P175" s="33"/>
    </row>
    <row r="176" customFormat="false" ht="15" hidden="false" customHeight="false" outlineLevel="0" collapsed="false">
      <c r="P176" s="33"/>
    </row>
    <row r="177" customFormat="false" ht="15" hidden="false" customHeight="false" outlineLevel="0" collapsed="false">
      <c r="P177" s="33"/>
    </row>
    <row r="178" customFormat="false" ht="15" hidden="false" customHeight="false" outlineLevel="0" collapsed="false">
      <c r="P178" s="33"/>
    </row>
    <row r="179" customFormat="false" ht="15" hidden="false" customHeight="false" outlineLevel="0" collapsed="false">
      <c r="P179" s="33"/>
    </row>
    <row r="180" customFormat="false" ht="15" hidden="false" customHeight="false" outlineLevel="0" collapsed="false">
      <c r="P180" s="33"/>
    </row>
    <row r="181" customFormat="false" ht="15" hidden="false" customHeight="false" outlineLevel="0" collapsed="false">
      <c r="P181" s="33"/>
    </row>
    <row r="182" customFormat="false" ht="15" hidden="false" customHeight="false" outlineLevel="0" collapsed="false">
      <c r="P182" s="33"/>
    </row>
    <row r="183" customFormat="false" ht="15" hidden="false" customHeight="false" outlineLevel="0" collapsed="false">
      <c r="P183" s="33"/>
    </row>
    <row r="184" customFormat="false" ht="15" hidden="false" customHeight="false" outlineLevel="0" collapsed="false">
      <c r="P184" s="33"/>
    </row>
    <row r="185" customFormat="false" ht="15" hidden="false" customHeight="false" outlineLevel="0" collapsed="false">
      <c r="P185" s="33"/>
    </row>
    <row r="186" customFormat="false" ht="15" hidden="false" customHeight="false" outlineLevel="0" collapsed="false">
      <c r="P186" s="33"/>
    </row>
    <row r="187" customFormat="false" ht="15" hidden="false" customHeight="false" outlineLevel="0" collapsed="false">
      <c r="P187" s="33"/>
    </row>
    <row r="188" customFormat="false" ht="15" hidden="false" customHeight="false" outlineLevel="0" collapsed="false">
      <c r="P188" s="33"/>
    </row>
    <row r="189" customFormat="false" ht="15" hidden="false" customHeight="false" outlineLevel="0" collapsed="false">
      <c r="P189" s="33"/>
    </row>
    <row r="190" customFormat="false" ht="15" hidden="false" customHeight="false" outlineLevel="0" collapsed="false">
      <c r="P190" s="33"/>
    </row>
    <row r="191" customFormat="false" ht="15" hidden="false" customHeight="false" outlineLevel="0" collapsed="false">
      <c r="P191" s="33"/>
    </row>
    <row r="192" customFormat="false" ht="15" hidden="false" customHeight="false" outlineLevel="0" collapsed="false">
      <c r="P192" s="33"/>
    </row>
    <row r="193" customFormat="false" ht="15" hidden="false" customHeight="false" outlineLevel="0" collapsed="false">
      <c r="P193" s="33"/>
    </row>
    <row r="194" customFormat="false" ht="15" hidden="false" customHeight="false" outlineLevel="0" collapsed="false">
      <c r="P194" s="33"/>
    </row>
    <row r="195" customFormat="false" ht="15" hidden="false" customHeight="false" outlineLevel="0" collapsed="false">
      <c r="P195" s="33"/>
    </row>
    <row r="196" customFormat="false" ht="15" hidden="false" customHeight="false" outlineLevel="0" collapsed="false">
      <c r="P196" s="33"/>
    </row>
    <row r="197" customFormat="false" ht="15" hidden="false" customHeight="false" outlineLevel="0" collapsed="false">
      <c r="P197" s="33"/>
    </row>
    <row r="198" customFormat="false" ht="15" hidden="false" customHeight="false" outlineLevel="0" collapsed="false">
      <c r="P198" s="33"/>
    </row>
    <row r="199" customFormat="false" ht="15" hidden="false" customHeight="false" outlineLevel="0" collapsed="false">
      <c r="P199" s="33"/>
    </row>
    <row r="200" customFormat="false" ht="15" hidden="false" customHeight="false" outlineLevel="0" collapsed="false">
      <c r="P200" s="33"/>
    </row>
    <row r="201" customFormat="false" ht="15" hidden="false" customHeight="false" outlineLevel="0" collapsed="false">
      <c r="P201" s="33"/>
    </row>
    <row r="202" customFormat="false" ht="15" hidden="false" customHeight="false" outlineLevel="0" collapsed="false">
      <c r="P202" s="33"/>
    </row>
    <row r="203" customFormat="false" ht="15" hidden="false" customHeight="false" outlineLevel="0" collapsed="false">
      <c r="P203" s="33"/>
    </row>
    <row r="204" customFormat="false" ht="15" hidden="false" customHeight="false" outlineLevel="0" collapsed="false">
      <c r="P204" s="33"/>
    </row>
    <row r="205" customFormat="false" ht="15" hidden="false" customHeight="false" outlineLevel="0" collapsed="false">
      <c r="P205" s="33"/>
    </row>
    <row r="206" customFormat="false" ht="15" hidden="false" customHeight="false" outlineLevel="0" collapsed="false">
      <c r="P206" s="33"/>
    </row>
    <row r="207" customFormat="false" ht="15" hidden="false" customHeight="false" outlineLevel="0" collapsed="false">
      <c r="P207" s="33"/>
    </row>
    <row r="208" customFormat="false" ht="15" hidden="false" customHeight="false" outlineLevel="0" collapsed="false">
      <c r="P208" s="33"/>
    </row>
    <row r="209" customFormat="false" ht="15" hidden="false" customHeight="false" outlineLevel="0" collapsed="false">
      <c r="P209" s="33"/>
    </row>
    <row r="210" customFormat="false" ht="15" hidden="false" customHeight="false" outlineLevel="0" collapsed="false">
      <c r="P210" s="33"/>
    </row>
    <row r="211" customFormat="false" ht="15" hidden="false" customHeight="false" outlineLevel="0" collapsed="false">
      <c r="P211" s="33"/>
    </row>
    <row r="212" customFormat="false" ht="15" hidden="false" customHeight="false" outlineLevel="0" collapsed="false">
      <c r="P212" s="33"/>
    </row>
    <row r="213" customFormat="false" ht="15" hidden="false" customHeight="false" outlineLevel="0" collapsed="false">
      <c r="P213" s="33"/>
    </row>
    <row r="214" customFormat="false" ht="15" hidden="false" customHeight="false" outlineLevel="0" collapsed="false">
      <c r="P214" s="33"/>
    </row>
    <row r="215" customFormat="false" ht="15" hidden="false" customHeight="false" outlineLevel="0" collapsed="false">
      <c r="P215" s="33"/>
    </row>
    <row r="216" customFormat="false" ht="15" hidden="false" customHeight="false" outlineLevel="0" collapsed="false">
      <c r="P216" s="33"/>
    </row>
    <row r="217" customFormat="false" ht="15" hidden="false" customHeight="false" outlineLevel="0" collapsed="false">
      <c r="P217" s="33"/>
    </row>
    <row r="218" customFormat="false" ht="15" hidden="false" customHeight="false" outlineLevel="0" collapsed="false">
      <c r="P218" s="33"/>
    </row>
    <row r="219" customFormat="false" ht="15" hidden="false" customHeight="false" outlineLevel="0" collapsed="false">
      <c r="P219" s="33"/>
    </row>
    <row r="220" customFormat="false" ht="15" hidden="false" customHeight="false" outlineLevel="0" collapsed="false">
      <c r="P220" s="33"/>
    </row>
    <row r="221" customFormat="false" ht="15" hidden="false" customHeight="false" outlineLevel="0" collapsed="false">
      <c r="P221" s="33"/>
    </row>
    <row r="222" customFormat="false" ht="15" hidden="false" customHeight="false" outlineLevel="0" collapsed="false">
      <c r="P222" s="33"/>
    </row>
    <row r="223" customFormat="false" ht="15" hidden="false" customHeight="false" outlineLevel="0" collapsed="false">
      <c r="P223" s="33"/>
    </row>
    <row r="224" customFormat="false" ht="15" hidden="false" customHeight="false" outlineLevel="0" collapsed="false">
      <c r="P224" s="33"/>
    </row>
    <row r="225" customFormat="false" ht="15" hidden="false" customHeight="false" outlineLevel="0" collapsed="false">
      <c r="P225" s="33"/>
    </row>
    <row r="226" customFormat="false" ht="15" hidden="false" customHeight="false" outlineLevel="0" collapsed="false">
      <c r="P226" s="33"/>
    </row>
    <row r="227" customFormat="false" ht="15" hidden="false" customHeight="false" outlineLevel="0" collapsed="false">
      <c r="P227" s="33"/>
    </row>
    <row r="228" customFormat="false" ht="15" hidden="false" customHeight="false" outlineLevel="0" collapsed="false">
      <c r="P228" s="33"/>
    </row>
    <row r="229" customFormat="false" ht="15" hidden="false" customHeight="false" outlineLevel="0" collapsed="false">
      <c r="P229" s="33"/>
    </row>
    <row r="230" customFormat="false" ht="15" hidden="false" customHeight="false" outlineLevel="0" collapsed="false">
      <c r="P230" s="33"/>
    </row>
    <row r="231" customFormat="false" ht="15" hidden="false" customHeight="false" outlineLevel="0" collapsed="false">
      <c r="P231" s="33"/>
    </row>
    <row r="232" customFormat="false" ht="15" hidden="false" customHeight="false" outlineLevel="0" collapsed="false">
      <c r="P232" s="33"/>
    </row>
    <row r="233" customFormat="false" ht="15" hidden="false" customHeight="false" outlineLevel="0" collapsed="false">
      <c r="P233" s="33"/>
    </row>
    <row r="234" customFormat="false" ht="15" hidden="false" customHeight="false" outlineLevel="0" collapsed="false">
      <c r="P234" s="33"/>
    </row>
    <row r="235" customFormat="false" ht="15" hidden="false" customHeight="false" outlineLevel="0" collapsed="false">
      <c r="P235" s="33"/>
    </row>
    <row r="236" customFormat="false" ht="15" hidden="false" customHeight="false" outlineLevel="0" collapsed="false">
      <c r="P236" s="33"/>
    </row>
    <row r="237" customFormat="false" ht="15" hidden="false" customHeight="false" outlineLevel="0" collapsed="false">
      <c r="P237" s="33"/>
    </row>
    <row r="238" customFormat="false" ht="15" hidden="false" customHeight="false" outlineLevel="0" collapsed="false">
      <c r="P238" s="33"/>
    </row>
    <row r="239" customFormat="false" ht="15" hidden="false" customHeight="false" outlineLevel="0" collapsed="false">
      <c r="P239" s="33"/>
    </row>
    <row r="240" customFormat="false" ht="15" hidden="false" customHeight="false" outlineLevel="0" collapsed="false">
      <c r="P240" s="33"/>
    </row>
    <row r="241" customFormat="false" ht="15" hidden="false" customHeight="false" outlineLevel="0" collapsed="false">
      <c r="P241" s="33"/>
    </row>
    <row r="242" customFormat="false" ht="15" hidden="false" customHeight="false" outlineLevel="0" collapsed="false">
      <c r="P242" s="33"/>
    </row>
    <row r="243" customFormat="false" ht="15" hidden="false" customHeight="false" outlineLevel="0" collapsed="false">
      <c r="P243" s="33"/>
    </row>
    <row r="244" customFormat="false" ht="15" hidden="false" customHeight="false" outlineLevel="0" collapsed="false">
      <c r="P244" s="33"/>
    </row>
    <row r="245" customFormat="false" ht="15" hidden="false" customHeight="false" outlineLevel="0" collapsed="false">
      <c r="P245" s="33"/>
    </row>
    <row r="246" customFormat="false" ht="15" hidden="false" customHeight="false" outlineLevel="0" collapsed="false">
      <c r="P246" s="33"/>
    </row>
    <row r="247" customFormat="false" ht="15" hidden="false" customHeight="false" outlineLevel="0" collapsed="false">
      <c r="P247" s="33"/>
    </row>
    <row r="248" customFormat="false" ht="15" hidden="false" customHeight="false" outlineLevel="0" collapsed="false">
      <c r="P248" s="33"/>
    </row>
    <row r="249" customFormat="false" ht="15" hidden="false" customHeight="false" outlineLevel="0" collapsed="false">
      <c r="P249" s="33"/>
    </row>
    <row r="250" customFormat="false" ht="15" hidden="false" customHeight="false" outlineLevel="0" collapsed="false">
      <c r="P250" s="33"/>
    </row>
    <row r="251" customFormat="false" ht="15" hidden="false" customHeight="false" outlineLevel="0" collapsed="false">
      <c r="P251" s="33"/>
    </row>
    <row r="252" customFormat="false" ht="15" hidden="false" customHeight="false" outlineLevel="0" collapsed="false">
      <c r="P252" s="33"/>
    </row>
    <row r="253" customFormat="false" ht="15" hidden="false" customHeight="false" outlineLevel="0" collapsed="false">
      <c r="P253" s="33"/>
    </row>
    <row r="254" customFormat="false" ht="15" hidden="false" customHeight="false" outlineLevel="0" collapsed="false">
      <c r="P254" s="33"/>
    </row>
    <row r="255" customFormat="false" ht="15" hidden="false" customHeight="false" outlineLevel="0" collapsed="false">
      <c r="P255" s="33"/>
    </row>
    <row r="256" customFormat="false" ht="15" hidden="false" customHeight="false" outlineLevel="0" collapsed="false">
      <c r="P256" s="33"/>
    </row>
    <row r="257" customFormat="false" ht="15" hidden="false" customHeight="false" outlineLevel="0" collapsed="false">
      <c r="P257" s="33"/>
    </row>
    <row r="258" customFormat="false" ht="15" hidden="false" customHeight="false" outlineLevel="0" collapsed="false">
      <c r="P258" s="33"/>
    </row>
    <row r="259" customFormat="false" ht="15" hidden="false" customHeight="false" outlineLevel="0" collapsed="false">
      <c r="P259" s="33"/>
    </row>
    <row r="260" customFormat="false" ht="15" hidden="false" customHeight="false" outlineLevel="0" collapsed="false">
      <c r="P260" s="33"/>
    </row>
    <row r="261" customFormat="false" ht="15" hidden="false" customHeight="false" outlineLevel="0" collapsed="false">
      <c r="P261" s="33"/>
    </row>
    <row r="262" customFormat="false" ht="15" hidden="false" customHeight="false" outlineLevel="0" collapsed="false">
      <c r="P262" s="33"/>
    </row>
    <row r="263" customFormat="false" ht="15" hidden="false" customHeight="false" outlineLevel="0" collapsed="false">
      <c r="P263" s="33"/>
    </row>
    <row r="264" customFormat="false" ht="15" hidden="false" customHeight="false" outlineLevel="0" collapsed="false">
      <c r="P264" s="33"/>
    </row>
    <row r="265" customFormat="false" ht="15" hidden="false" customHeight="false" outlineLevel="0" collapsed="false">
      <c r="P265" s="33"/>
    </row>
    <row r="266" customFormat="false" ht="15" hidden="false" customHeight="false" outlineLevel="0" collapsed="false">
      <c r="P266" s="33"/>
    </row>
    <row r="267" customFormat="false" ht="15" hidden="false" customHeight="false" outlineLevel="0" collapsed="false">
      <c r="P267" s="33"/>
    </row>
    <row r="268" customFormat="false" ht="15" hidden="false" customHeight="false" outlineLevel="0" collapsed="false">
      <c r="P268" s="33"/>
    </row>
    <row r="269" customFormat="false" ht="15" hidden="false" customHeight="false" outlineLevel="0" collapsed="false">
      <c r="P269" s="33"/>
    </row>
    <row r="270" customFormat="false" ht="15" hidden="false" customHeight="false" outlineLevel="0" collapsed="false">
      <c r="P270" s="33"/>
    </row>
    <row r="271" customFormat="false" ht="15" hidden="false" customHeight="false" outlineLevel="0" collapsed="false">
      <c r="P271" s="33"/>
    </row>
    <row r="272" customFormat="false" ht="15" hidden="false" customHeight="false" outlineLevel="0" collapsed="false">
      <c r="P272" s="33"/>
    </row>
    <row r="273" customFormat="false" ht="15" hidden="false" customHeight="false" outlineLevel="0" collapsed="false">
      <c r="P273" s="33"/>
    </row>
    <row r="274" customFormat="false" ht="15" hidden="false" customHeight="false" outlineLevel="0" collapsed="false">
      <c r="P274" s="33"/>
    </row>
    <row r="275" customFormat="false" ht="15" hidden="false" customHeight="false" outlineLevel="0" collapsed="false">
      <c r="P275" s="33"/>
    </row>
    <row r="276" customFormat="false" ht="15" hidden="false" customHeight="false" outlineLevel="0" collapsed="false">
      <c r="P276" s="33"/>
    </row>
    <row r="277" customFormat="false" ht="15" hidden="false" customHeight="false" outlineLevel="0" collapsed="false">
      <c r="P277" s="33"/>
    </row>
    <row r="278" customFormat="false" ht="15" hidden="false" customHeight="false" outlineLevel="0" collapsed="false">
      <c r="P278" s="33"/>
    </row>
    <row r="279" customFormat="false" ht="15" hidden="false" customHeight="false" outlineLevel="0" collapsed="false">
      <c r="P279" s="33"/>
    </row>
    <row r="280" customFormat="false" ht="15" hidden="false" customHeight="false" outlineLevel="0" collapsed="false">
      <c r="P280" s="33"/>
    </row>
    <row r="281" customFormat="false" ht="15" hidden="false" customHeight="false" outlineLevel="0" collapsed="false">
      <c r="P281" s="33"/>
    </row>
    <row r="282" customFormat="false" ht="15" hidden="false" customHeight="false" outlineLevel="0" collapsed="false">
      <c r="P282" s="33"/>
    </row>
    <row r="283" customFormat="false" ht="15" hidden="false" customHeight="false" outlineLevel="0" collapsed="false">
      <c r="P283" s="33"/>
    </row>
    <row r="284" customFormat="false" ht="15" hidden="false" customHeight="false" outlineLevel="0" collapsed="false">
      <c r="P284" s="33"/>
    </row>
    <row r="285" customFormat="false" ht="15" hidden="false" customHeight="false" outlineLevel="0" collapsed="false">
      <c r="P285" s="33"/>
    </row>
    <row r="286" customFormat="false" ht="15" hidden="false" customHeight="false" outlineLevel="0" collapsed="false">
      <c r="P286" s="33"/>
    </row>
    <row r="287" customFormat="false" ht="15" hidden="false" customHeight="false" outlineLevel="0" collapsed="false">
      <c r="P287" s="33"/>
    </row>
    <row r="288" customFormat="false" ht="15" hidden="false" customHeight="false" outlineLevel="0" collapsed="false">
      <c r="P288" s="33"/>
    </row>
    <row r="289" customFormat="false" ht="15" hidden="false" customHeight="false" outlineLevel="0" collapsed="false">
      <c r="P289" s="33"/>
    </row>
    <row r="290" customFormat="false" ht="15" hidden="false" customHeight="false" outlineLevel="0" collapsed="false">
      <c r="P290" s="33"/>
    </row>
    <row r="291" customFormat="false" ht="15" hidden="false" customHeight="false" outlineLevel="0" collapsed="false">
      <c r="P291" s="33"/>
    </row>
    <row r="292" customFormat="false" ht="15" hidden="false" customHeight="false" outlineLevel="0" collapsed="false">
      <c r="P292" s="33"/>
    </row>
    <row r="293" customFormat="false" ht="15" hidden="false" customHeight="false" outlineLevel="0" collapsed="false">
      <c r="P293" s="33"/>
    </row>
    <row r="294" customFormat="false" ht="15" hidden="false" customHeight="false" outlineLevel="0" collapsed="false">
      <c r="P294" s="33"/>
    </row>
    <row r="295" customFormat="false" ht="15" hidden="false" customHeight="false" outlineLevel="0" collapsed="false">
      <c r="P295" s="33"/>
    </row>
    <row r="296" customFormat="false" ht="15" hidden="false" customHeight="false" outlineLevel="0" collapsed="false">
      <c r="P296" s="33"/>
    </row>
    <row r="297" customFormat="false" ht="15" hidden="false" customHeight="false" outlineLevel="0" collapsed="false">
      <c r="P297" s="33"/>
    </row>
    <row r="298" customFormat="false" ht="15" hidden="false" customHeight="false" outlineLevel="0" collapsed="false">
      <c r="P298" s="33"/>
    </row>
    <row r="299" customFormat="false" ht="15" hidden="false" customHeight="false" outlineLevel="0" collapsed="false">
      <c r="P299" s="33"/>
    </row>
    <row r="300" customFormat="false" ht="15" hidden="false" customHeight="false" outlineLevel="0" collapsed="false">
      <c r="P300" s="33"/>
    </row>
    <row r="301" customFormat="false" ht="15" hidden="false" customHeight="false" outlineLevel="0" collapsed="false">
      <c r="P301" s="33"/>
    </row>
    <row r="302" customFormat="false" ht="15" hidden="false" customHeight="false" outlineLevel="0" collapsed="false">
      <c r="P302" s="33"/>
    </row>
    <row r="303" customFormat="false" ht="15" hidden="false" customHeight="false" outlineLevel="0" collapsed="false">
      <c r="P303" s="33"/>
    </row>
    <row r="304" customFormat="false" ht="15" hidden="false" customHeight="false" outlineLevel="0" collapsed="false">
      <c r="P304" s="33"/>
    </row>
    <row r="305" customFormat="false" ht="15" hidden="false" customHeight="false" outlineLevel="0" collapsed="false">
      <c r="P305" s="33"/>
    </row>
    <row r="306" customFormat="false" ht="15" hidden="false" customHeight="false" outlineLevel="0" collapsed="false">
      <c r="P306" s="33"/>
    </row>
    <row r="307" customFormat="false" ht="15" hidden="false" customHeight="false" outlineLevel="0" collapsed="false">
      <c r="P307" s="33"/>
    </row>
    <row r="308" customFormat="false" ht="15" hidden="false" customHeight="false" outlineLevel="0" collapsed="false">
      <c r="P308" s="33"/>
    </row>
    <row r="309" customFormat="false" ht="15" hidden="false" customHeight="false" outlineLevel="0" collapsed="false">
      <c r="P309" s="33"/>
    </row>
    <row r="310" customFormat="false" ht="15" hidden="false" customHeight="false" outlineLevel="0" collapsed="false">
      <c r="P310" s="33"/>
    </row>
    <row r="311" customFormat="false" ht="15" hidden="false" customHeight="false" outlineLevel="0" collapsed="false">
      <c r="P311" s="33"/>
    </row>
    <row r="312" customFormat="false" ht="15" hidden="false" customHeight="false" outlineLevel="0" collapsed="false">
      <c r="P312" s="33"/>
    </row>
    <row r="313" customFormat="false" ht="15" hidden="false" customHeight="false" outlineLevel="0" collapsed="false">
      <c r="P313" s="33"/>
    </row>
    <row r="314" customFormat="false" ht="15" hidden="false" customHeight="false" outlineLevel="0" collapsed="false">
      <c r="P314" s="33"/>
    </row>
    <row r="315" customFormat="false" ht="15" hidden="false" customHeight="false" outlineLevel="0" collapsed="false">
      <c r="P315" s="33"/>
    </row>
    <row r="316" customFormat="false" ht="15" hidden="false" customHeight="false" outlineLevel="0" collapsed="false">
      <c r="P316" s="33"/>
    </row>
    <row r="317" customFormat="false" ht="15" hidden="false" customHeight="false" outlineLevel="0" collapsed="false">
      <c r="P317" s="33"/>
    </row>
    <row r="318" customFormat="false" ht="15" hidden="false" customHeight="false" outlineLevel="0" collapsed="false">
      <c r="P318" s="33"/>
    </row>
    <row r="319" customFormat="false" ht="15" hidden="false" customHeight="false" outlineLevel="0" collapsed="false">
      <c r="P319" s="33"/>
    </row>
    <row r="320" customFormat="false" ht="15" hidden="false" customHeight="false" outlineLevel="0" collapsed="false">
      <c r="P320" s="33"/>
    </row>
    <row r="321" customFormat="false" ht="15" hidden="false" customHeight="false" outlineLevel="0" collapsed="false">
      <c r="P321" s="33"/>
    </row>
    <row r="322" customFormat="false" ht="15" hidden="false" customHeight="false" outlineLevel="0" collapsed="false">
      <c r="P322" s="33"/>
    </row>
    <row r="323" customFormat="false" ht="15" hidden="false" customHeight="false" outlineLevel="0" collapsed="false">
      <c r="P323" s="33"/>
    </row>
    <row r="324" customFormat="false" ht="15" hidden="false" customHeight="false" outlineLevel="0" collapsed="false">
      <c r="P324" s="33"/>
    </row>
    <row r="325" customFormat="false" ht="15" hidden="false" customHeight="false" outlineLevel="0" collapsed="false">
      <c r="P325" s="33"/>
    </row>
    <row r="326" customFormat="false" ht="15" hidden="false" customHeight="false" outlineLevel="0" collapsed="false">
      <c r="P326" s="33"/>
    </row>
    <row r="327" customFormat="false" ht="15" hidden="false" customHeight="false" outlineLevel="0" collapsed="false">
      <c r="P327" s="33"/>
    </row>
    <row r="328" customFormat="false" ht="15" hidden="false" customHeight="false" outlineLevel="0" collapsed="false">
      <c r="P328" s="33"/>
    </row>
    <row r="329" customFormat="false" ht="15" hidden="false" customHeight="false" outlineLevel="0" collapsed="false">
      <c r="P329" s="33"/>
    </row>
    <row r="330" customFormat="false" ht="15" hidden="false" customHeight="false" outlineLevel="0" collapsed="false">
      <c r="P330" s="33"/>
    </row>
    <row r="331" customFormat="false" ht="15" hidden="false" customHeight="false" outlineLevel="0" collapsed="false">
      <c r="P331" s="33"/>
    </row>
    <row r="332" customFormat="false" ht="15" hidden="false" customHeight="false" outlineLevel="0" collapsed="false">
      <c r="P332" s="33"/>
    </row>
    <row r="333" customFormat="false" ht="15" hidden="false" customHeight="false" outlineLevel="0" collapsed="false">
      <c r="P333" s="33"/>
    </row>
    <row r="334" customFormat="false" ht="15" hidden="false" customHeight="false" outlineLevel="0" collapsed="false">
      <c r="P334" s="33"/>
    </row>
    <row r="335" customFormat="false" ht="15" hidden="false" customHeight="false" outlineLevel="0" collapsed="false">
      <c r="P335" s="33"/>
    </row>
    <row r="336" customFormat="false" ht="15" hidden="false" customHeight="false" outlineLevel="0" collapsed="false">
      <c r="P336" s="33"/>
    </row>
    <row r="337" customFormat="false" ht="15" hidden="false" customHeight="false" outlineLevel="0" collapsed="false">
      <c r="P337" s="33"/>
    </row>
    <row r="338" customFormat="false" ht="15" hidden="false" customHeight="false" outlineLevel="0" collapsed="false">
      <c r="P338" s="33"/>
    </row>
    <row r="339" customFormat="false" ht="15" hidden="false" customHeight="false" outlineLevel="0" collapsed="false">
      <c r="P339" s="33"/>
    </row>
    <row r="340" customFormat="false" ht="15" hidden="false" customHeight="false" outlineLevel="0" collapsed="false">
      <c r="P340" s="33"/>
    </row>
    <row r="341" customFormat="false" ht="15" hidden="false" customHeight="false" outlineLevel="0" collapsed="false">
      <c r="P341" s="33"/>
    </row>
    <row r="342" customFormat="false" ht="15" hidden="false" customHeight="false" outlineLevel="0" collapsed="false">
      <c r="P342" s="33"/>
    </row>
    <row r="343" customFormat="false" ht="15" hidden="false" customHeight="false" outlineLevel="0" collapsed="false">
      <c r="P343" s="33"/>
    </row>
    <row r="344" customFormat="false" ht="15" hidden="false" customHeight="false" outlineLevel="0" collapsed="false">
      <c r="P344" s="33"/>
    </row>
    <row r="345" customFormat="false" ht="15" hidden="false" customHeight="false" outlineLevel="0" collapsed="false">
      <c r="P345" s="33"/>
    </row>
    <row r="346" customFormat="false" ht="15" hidden="false" customHeight="false" outlineLevel="0" collapsed="false">
      <c r="P346" s="33"/>
    </row>
    <row r="347" customFormat="false" ht="15" hidden="false" customHeight="false" outlineLevel="0" collapsed="false">
      <c r="P347" s="33"/>
    </row>
    <row r="348" customFormat="false" ht="15" hidden="false" customHeight="false" outlineLevel="0" collapsed="false">
      <c r="P348" s="33"/>
    </row>
    <row r="349" customFormat="false" ht="15" hidden="false" customHeight="false" outlineLevel="0" collapsed="false">
      <c r="P349" s="33"/>
    </row>
    <row r="350" customFormat="false" ht="15" hidden="false" customHeight="false" outlineLevel="0" collapsed="false">
      <c r="P350" s="33"/>
    </row>
    <row r="351" customFormat="false" ht="15" hidden="false" customHeight="false" outlineLevel="0" collapsed="false">
      <c r="P351" s="33"/>
    </row>
    <row r="352" customFormat="false" ht="15" hidden="false" customHeight="false" outlineLevel="0" collapsed="false">
      <c r="P352" s="33"/>
    </row>
    <row r="353" customFormat="false" ht="15" hidden="false" customHeight="false" outlineLevel="0" collapsed="false">
      <c r="P353" s="33"/>
    </row>
    <row r="354" customFormat="false" ht="15" hidden="false" customHeight="false" outlineLevel="0" collapsed="false">
      <c r="P354" s="33"/>
    </row>
    <row r="355" customFormat="false" ht="15" hidden="false" customHeight="false" outlineLevel="0" collapsed="false">
      <c r="P355" s="33"/>
    </row>
    <row r="356" customFormat="false" ht="15" hidden="false" customHeight="false" outlineLevel="0" collapsed="false">
      <c r="P356" s="33"/>
    </row>
    <row r="357" customFormat="false" ht="15" hidden="false" customHeight="false" outlineLevel="0" collapsed="false">
      <c r="P357" s="33"/>
    </row>
    <row r="358" customFormat="false" ht="15" hidden="false" customHeight="false" outlineLevel="0" collapsed="false">
      <c r="P358" s="33"/>
    </row>
    <row r="359" customFormat="false" ht="15" hidden="false" customHeight="false" outlineLevel="0" collapsed="false">
      <c r="P359" s="33"/>
    </row>
    <row r="360" customFormat="false" ht="15" hidden="false" customHeight="false" outlineLevel="0" collapsed="false">
      <c r="P360" s="33"/>
    </row>
    <row r="361" customFormat="false" ht="15" hidden="false" customHeight="false" outlineLevel="0" collapsed="false">
      <c r="P361" s="33"/>
    </row>
    <row r="362" customFormat="false" ht="15" hidden="false" customHeight="false" outlineLevel="0" collapsed="false">
      <c r="P362" s="33"/>
    </row>
    <row r="363" customFormat="false" ht="15" hidden="false" customHeight="false" outlineLevel="0" collapsed="false">
      <c r="P363" s="33"/>
    </row>
    <row r="364" customFormat="false" ht="15" hidden="false" customHeight="false" outlineLevel="0" collapsed="false">
      <c r="P364" s="33"/>
    </row>
    <row r="365" customFormat="false" ht="15" hidden="false" customHeight="false" outlineLevel="0" collapsed="false">
      <c r="P365" s="33"/>
    </row>
    <row r="366" customFormat="false" ht="15" hidden="false" customHeight="false" outlineLevel="0" collapsed="false">
      <c r="P366" s="33"/>
    </row>
    <row r="367" customFormat="false" ht="15" hidden="false" customHeight="false" outlineLevel="0" collapsed="false">
      <c r="P367" s="33"/>
    </row>
    <row r="368" customFormat="false" ht="15" hidden="false" customHeight="false" outlineLevel="0" collapsed="false">
      <c r="P368" s="33"/>
    </row>
    <row r="369" customFormat="false" ht="15" hidden="false" customHeight="false" outlineLevel="0" collapsed="false">
      <c r="P369" s="33"/>
    </row>
    <row r="370" customFormat="false" ht="15" hidden="false" customHeight="false" outlineLevel="0" collapsed="false">
      <c r="P370" s="33"/>
    </row>
    <row r="371" customFormat="false" ht="15" hidden="false" customHeight="false" outlineLevel="0" collapsed="false">
      <c r="P371" s="33"/>
    </row>
    <row r="372" customFormat="false" ht="15" hidden="false" customHeight="false" outlineLevel="0" collapsed="false">
      <c r="P372" s="33"/>
    </row>
    <row r="373" customFormat="false" ht="15" hidden="false" customHeight="false" outlineLevel="0" collapsed="false">
      <c r="P373" s="33"/>
    </row>
    <row r="374" customFormat="false" ht="15" hidden="false" customHeight="false" outlineLevel="0" collapsed="false">
      <c r="P374" s="33"/>
    </row>
    <row r="375" customFormat="false" ht="15" hidden="false" customHeight="false" outlineLevel="0" collapsed="false">
      <c r="P375" s="33"/>
    </row>
    <row r="376" customFormat="false" ht="15" hidden="false" customHeight="false" outlineLevel="0" collapsed="false">
      <c r="P376" s="33"/>
    </row>
    <row r="377" customFormat="false" ht="15" hidden="false" customHeight="false" outlineLevel="0" collapsed="false">
      <c r="P377" s="33"/>
    </row>
    <row r="378" customFormat="false" ht="15" hidden="false" customHeight="false" outlineLevel="0" collapsed="false">
      <c r="P378" s="33"/>
    </row>
    <row r="379" customFormat="false" ht="15" hidden="false" customHeight="false" outlineLevel="0" collapsed="false">
      <c r="P379" s="33"/>
    </row>
    <row r="380" customFormat="false" ht="15" hidden="false" customHeight="false" outlineLevel="0" collapsed="false">
      <c r="P380" s="33"/>
    </row>
    <row r="381" customFormat="false" ht="15" hidden="false" customHeight="false" outlineLevel="0" collapsed="false">
      <c r="P381" s="33"/>
    </row>
    <row r="382" customFormat="false" ht="15" hidden="false" customHeight="false" outlineLevel="0" collapsed="false">
      <c r="P382" s="33"/>
    </row>
    <row r="383" customFormat="false" ht="15" hidden="false" customHeight="false" outlineLevel="0" collapsed="false">
      <c r="P383" s="33"/>
    </row>
    <row r="384" customFormat="false" ht="15" hidden="false" customHeight="false" outlineLevel="0" collapsed="false">
      <c r="P384" s="33"/>
    </row>
    <row r="385" customFormat="false" ht="15" hidden="false" customHeight="false" outlineLevel="0" collapsed="false">
      <c r="P385" s="33"/>
    </row>
    <row r="386" customFormat="false" ht="15" hidden="false" customHeight="false" outlineLevel="0" collapsed="false">
      <c r="P386" s="33"/>
    </row>
    <row r="387" customFormat="false" ht="15" hidden="false" customHeight="false" outlineLevel="0" collapsed="false">
      <c r="P387" s="33"/>
    </row>
    <row r="388" customFormat="false" ht="15" hidden="false" customHeight="false" outlineLevel="0" collapsed="false">
      <c r="P388" s="33"/>
    </row>
    <row r="389" customFormat="false" ht="15" hidden="false" customHeight="false" outlineLevel="0" collapsed="false">
      <c r="P389" s="33"/>
    </row>
    <row r="390" customFormat="false" ht="15" hidden="false" customHeight="false" outlineLevel="0" collapsed="false">
      <c r="P390" s="33"/>
    </row>
    <row r="391" customFormat="false" ht="15" hidden="false" customHeight="false" outlineLevel="0" collapsed="false">
      <c r="P391" s="33"/>
    </row>
    <row r="392" customFormat="false" ht="15" hidden="false" customHeight="false" outlineLevel="0" collapsed="false">
      <c r="P392" s="33"/>
    </row>
    <row r="393" customFormat="false" ht="15" hidden="false" customHeight="false" outlineLevel="0" collapsed="false">
      <c r="P393" s="33"/>
    </row>
    <row r="394" customFormat="false" ht="15" hidden="false" customHeight="false" outlineLevel="0" collapsed="false">
      <c r="P394" s="33"/>
    </row>
    <row r="395" customFormat="false" ht="15" hidden="false" customHeight="false" outlineLevel="0" collapsed="false">
      <c r="P395" s="33"/>
    </row>
    <row r="396" customFormat="false" ht="15" hidden="false" customHeight="false" outlineLevel="0" collapsed="false">
      <c r="P396" s="33"/>
    </row>
    <row r="397" customFormat="false" ht="15" hidden="false" customHeight="false" outlineLevel="0" collapsed="false">
      <c r="P397" s="33"/>
    </row>
    <row r="398" customFormat="false" ht="15" hidden="false" customHeight="false" outlineLevel="0" collapsed="false">
      <c r="P398" s="33"/>
    </row>
    <row r="399" customFormat="false" ht="15" hidden="false" customHeight="false" outlineLevel="0" collapsed="false">
      <c r="P399" s="33"/>
    </row>
    <row r="400" customFormat="false" ht="15" hidden="false" customHeight="false" outlineLevel="0" collapsed="false">
      <c r="P400" s="33"/>
    </row>
    <row r="401" customFormat="false" ht="15" hidden="false" customHeight="false" outlineLevel="0" collapsed="false">
      <c r="P401" s="33"/>
    </row>
    <row r="402" customFormat="false" ht="15" hidden="false" customHeight="false" outlineLevel="0" collapsed="false">
      <c r="P402" s="33"/>
    </row>
    <row r="403" customFormat="false" ht="15" hidden="false" customHeight="false" outlineLevel="0" collapsed="false">
      <c r="P403" s="33"/>
    </row>
    <row r="404" customFormat="false" ht="15" hidden="false" customHeight="false" outlineLevel="0" collapsed="false">
      <c r="P404" s="33"/>
    </row>
    <row r="405" customFormat="false" ht="15" hidden="false" customHeight="false" outlineLevel="0" collapsed="false">
      <c r="P405" s="33"/>
    </row>
    <row r="406" customFormat="false" ht="15" hidden="false" customHeight="false" outlineLevel="0" collapsed="false">
      <c r="P406" s="33"/>
    </row>
    <row r="407" customFormat="false" ht="15" hidden="false" customHeight="false" outlineLevel="0" collapsed="false">
      <c r="P407" s="33"/>
    </row>
    <row r="408" customFormat="false" ht="15" hidden="false" customHeight="false" outlineLevel="0" collapsed="false">
      <c r="P408" s="33"/>
    </row>
    <row r="409" customFormat="false" ht="15" hidden="false" customHeight="false" outlineLevel="0" collapsed="false">
      <c r="P409" s="33"/>
    </row>
    <row r="410" customFormat="false" ht="15" hidden="false" customHeight="false" outlineLevel="0" collapsed="false">
      <c r="P410" s="33"/>
    </row>
    <row r="411" customFormat="false" ht="15" hidden="false" customHeight="false" outlineLevel="0" collapsed="false">
      <c r="P411" s="33"/>
    </row>
    <row r="412" customFormat="false" ht="15" hidden="false" customHeight="false" outlineLevel="0" collapsed="false">
      <c r="P412" s="33"/>
    </row>
    <row r="413" customFormat="false" ht="15" hidden="false" customHeight="false" outlineLevel="0" collapsed="false">
      <c r="P413" s="33"/>
    </row>
    <row r="414" customFormat="false" ht="15" hidden="false" customHeight="false" outlineLevel="0" collapsed="false">
      <c r="P414" s="33"/>
    </row>
    <row r="415" customFormat="false" ht="15" hidden="false" customHeight="false" outlineLevel="0" collapsed="false">
      <c r="P415" s="33"/>
    </row>
    <row r="416" customFormat="false" ht="15" hidden="false" customHeight="false" outlineLevel="0" collapsed="false">
      <c r="P416" s="33"/>
    </row>
    <row r="417" customFormat="false" ht="15" hidden="false" customHeight="false" outlineLevel="0" collapsed="false">
      <c r="P417" s="33"/>
    </row>
    <row r="418" customFormat="false" ht="15" hidden="false" customHeight="false" outlineLevel="0" collapsed="false">
      <c r="P418" s="33"/>
    </row>
    <row r="419" customFormat="false" ht="15" hidden="false" customHeight="false" outlineLevel="0" collapsed="false">
      <c r="P419" s="33"/>
    </row>
    <row r="420" customFormat="false" ht="15" hidden="false" customHeight="false" outlineLevel="0" collapsed="false">
      <c r="P420" s="33"/>
    </row>
    <row r="421" customFormat="false" ht="15" hidden="false" customHeight="false" outlineLevel="0" collapsed="false">
      <c r="P421" s="33"/>
    </row>
    <row r="422" customFormat="false" ht="15" hidden="false" customHeight="false" outlineLevel="0" collapsed="false">
      <c r="P422" s="33"/>
    </row>
    <row r="423" customFormat="false" ht="15" hidden="false" customHeight="false" outlineLevel="0" collapsed="false">
      <c r="P423" s="33"/>
    </row>
    <row r="424" customFormat="false" ht="15" hidden="false" customHeight="false" outlineLevel="0" collapsed="false">
      <c r="P424" s="33"/>
    </row>
    <row r="425" customFormat="false" ht="15" hidden="false" customHeight="false" outlineLevel="0" collapsed="false">
      <c r="P425" s="33"/>
    </row>
    <row r="426" customFormat="false" ht="15" hidden="false" customHeight="false" outlineLevel="0" collapsed="false">
      <c r="P426" s="33"/>
    </row>
    <row r="427" customFormat="false" ht="15" hidden="false" customHeight="false" outlineLevel="0" collapsed="false">
      <c r="P427" s="33"/>
    </row>
    <row r="428" customFormat="false" ht="15" hidden="false" customHeight="false" outlineLevel="0" collapsed="false">
      <c r="P428" s="33"/>
    </row>
    <row r="429" customFormat="false" ht="15" hidden="false" customHeight="false" outlineLevel="0" collapsed="false">
      <c r="P429" s="33"/>
    </row>
    <row r="430" customFormat="false" ht="15" hidden="false" customHeight="false" outlineLevel="0" collapsed="false">
      <c r="P430" s="33"/>
    </row>
    <row r="431" customFormat="false" ht="15" hidden="false" customHeight="false" outlineLevel="0" collapsed="false">
      <c r="P431" s="33"/>
    </row>
    <row r="432" customFormat="false" ht="15" hidden="false" customHeight="false" outlineLevel="0" collapsed="false">
      <c r="P432" s="33"/>
    </row>
    <row r="433" customFormat="false" ht="15" hidden="false" customHeight="false" outlineLevel="0" collapsed="false">
      <c r="P433" s="33"/>
    </row>
    <row r="434" customFormat="false" ht="15" hidden="false" customHeight="false" outlineLevel="0" collapsed="false">
      <c r="P434" s="33"/>
    </row>
    <row r="435" customFormat="false" ht="15" hidden="false" customHeight="false" outlineLevel="0" collapsed="false">
      <c r="P435" s="33"/>
    </row>
    <row r="436" customFormat="false" ht="15" hidden="false" customHeight="false" outlineLevel="0" collapsed="false">
      <c r="P436" s="33"/>
    </row>
    <row r="437" customFormat="false" ht="15" hidden="false" customHeight="false" outlineLevel="0" collapsed="false">
      <c r="P437" s="33"/>
    </row>
    <row r="438" customFormat="false" ht="15" hidden="false" customHeight="false" outlineLevel="0" collapsed="false">
      <c r="P438" s="33"/>
    </row>
    <row r="439" customFormat="false" ht="15" hidden="false" customHeight="false" outlineLevel="0" collapsed="false">
      <c r="P439" s="33"/>
    </row>
    <row r="440" customFormat="false" ht="15" hidden="false" customHeight="false" outlineLevel="0" collapsed="false">
      <c r="P440" s="33"/>
    </row>
    <row r="441" customFormat="false" ht="15" hidden="false" customHeight="false" outlineLevel="0" collapsed="false">
      <c r="P441" s="33"/>
    </row>
    <row r="442" customFormat="false" ht="15" hidden="false" customHeight="false" outlineLevel="0" collapsed="false">
      <c r="P442" s="33"/>
    </row>
    <row r="443" customFormat="false" ht="15" hidden="false" customHeight="false" outlineLevel="0" collapsed="false">
      <c r="P443" s="33"/>
    </row>
    <row r="444" customFormat="false" ht="15" hidden="false" customHeight="false" outlineLevel="0" collapsed="false">
      <c r="P444" s="33"/>
    </row>
    <row r="445" customFormat="false" ht="15" hidden="false" customHeight="false" outlineLevel="0" collapsed="false">
      <c r="P445" s="33"/>
    </row>
    <row r="446" customFormat="false" ht="15" hidden="false" customHeight="false" outlineLevel="0" collapsed="false">
      <c r="P446" s="33"/>
    </row>
    <row r="447" customFormat="false" ht="15" hidden="false" customHeight="false" outlineLevel="0" collapsed="false">
      <c r="P447" s="33"/>
    </row>
    <row r="448" customFormat="false" ht="15" hidden="false" customHeight="false" outlineLevel="0" collapsed="false">
      <c r="P448" s="33"/>
    </row>
    <row r="449" customFormat="false" ht="15" hidden="false" customHeight="false" outlineLevel="0" collapsed="false">
      <c r="P449" s="33"/>
    </row>
    <row r="450" customFormat="false" ht="15" hidden="false" customHeight="false" outlineLevel="0" collapsed="false">
      <c r="P450" s="33"/>
    </row>
    <row r="451" customFormat="false" ht="15" hidden="false" customHeight="false" outlineLevel="0" collapsed="false">
      <c r="P451" s="33"/>
    </row>
    <row r="452" customFormat="false" ht="15" hidden="false" customHeight="false" outlineLevel="0" collapsed="false">
      <c r="P452" s="33"/>
    </row>
    <row r="453" customFormat="false" ht="15" hidden="false" customHeight="false" outlineLevel="0" collapsed="false">
      <c r="P453" s="33"/>
    </row>
    <row r="454" customFormat="false" ht="15" hidden="false" customHeight="false" outlineLevel="0" collapsed="false">
      <c r="P454" s="33"/>
    </row>
    <row r="455" customFormat="false" ht="15" hidden="false" customHeight="false" outlineLevel="0" collapsed="false">
      <c r="P455" s="33"/>
    </row>
    <row r="456" customFormat="false" ht="15" hidden="false" customHeight="false" outlineLevel="0" collapsed="false">
      <c r="P456" s="33"/>
    </row>
    <row r="457" customFormat="false" ht="15" hidden="false" customHeight="false" outlineLevel="0" collapsed="false">
      <c r="P457" s="33"/>
    </row>
    <row r="458" customFormat="false" ht="15" hidden="false" customHeight="false" outlineLevel="0" collapsed="false">
      <c r="P458" s="33"/>
    </row>
    <row r="459" customFormat="false" ht="15" hidden="false" customHeight="false" outlineLevel="0" collapsed="false">
      <c r="P459" s="33"/>
    </row>
    <row r="460" customFormat="false" ht="15" hidden="false" customHeight="false" outlineLevel="0" collapsed="false">
      <c r="P460" s="33"/>
    </row>
    <row r="461" customFormat="false" ht="15" hidden="false" customHeight="false" outlineLevel="0" collapsed="false">
      <c r="P461" s="33"/>
    </row>
    <row r="462" customFormat="false" ht="15" hidden="false" customHeight="false" outlineLevel="0" collapsed="false">
      <c r="P462" s="33"/>
    </row>
    <row r="463" customFormat="false" ht="15" hidden="false" customHeight="false" outlineLevel="0" collapsed="false">
      <c r="P463" s="33"/>
    </row>
    <row r="464" customFormat="false" ht="15" hidden="false" customHeight="false" outlineLevel="0" collapsed="false">
      <c r="P464" s="33"/>
    </row>
    <row r="465" customFormat="false" ht="15" hidden="false" customHeight="false" outlineLevel="0" collapsed="false">
      <c r="P465" s="33"/>
    </row>
    <row r="466" customFormat="false" ht="15" hidden="false" customHeight="false" outlineLevel="0" collapsed="false">
      <c r="P466" s="33"/>
    </row>
    <row r="467" customFormat="false" ht="15" hidden="false" customHeight="false" outlineLevel="0" collapsed="false">
      <c r="P467" s="33"/>
    </row>
    <row r="468" customFormat="false" ht="15" hidden="false" customHeight="false" outlineLevel="0" collapsed="false">
      <c r="P468" s="33"/>
    </row>
    <row r="469" customFormat="false" ht="15" hidden="false" customHeight="false" outlineLevel="0" collapsed="false">
      <c r="P469" s="33"/>
    </row>
    <row r="470" customFormat="false" ht="15" hidden="false" customHeight="false" outlineLevel="0" collapsed="false">
      <c r="P470" s="33"/>
    </row>
    <row r="471" customFormat="false" ht="15" hidden="false" customHeight="false" outlineLevel="0" collapsed="false">
      <c r="P471" s="33"/>
    </row>
    <row r="472" customFormat="false" ht="15" hidden="false" customHeight="false" outlineLevel="0" collapsed="false">
      <c r="P472" s="33"/>
    </row>
    <row r="473" customFormat="false" ht="15" hidden="false" customHeight="false" outlineLevel="0" collapsed="false">
      <c r="P473" s="33"/>
    </row>
    <row r="474" customFormat="false" ht="15" hidden="false" customHeight="false" outlineLevel="0" collapsed="false">
      <c r="P474" s="33"/>
    </row>
    <row r="475" customFormat="false" ht="15" hidden="false" customHeight="false" outlineLevel="0" collapsed="false">
      <c r="P475" s="33"/>
    </row>
    <row r="476" customFormat="false" ht="15" hidden="false" customHeight="false" outlineLevel="0" collapsed="false">
      <c r="P476" s="33"/>
    </row>
    <row r="477" customFormat="false" ht="15" hidden="false" customHeight="false" outlineLevel="0" collapsed="false">
      <c r="P477" s="33"/>
    </row>
    <row r="478" customFormat="false" ht="15" hidden="false" customHeight="false" outlineLevel="0" collapsed="false">
      <c r="P478" s="33"/>
    </row>
    <row r="479" customFormat="false" ht="15" hidden="false" customHeight="false" outlineLevel="0" collapsed="false">
      <c r="P479" s="33"/>
    </row>
    <row r="480" customFormat="false" ht="15" hidden="false" customHeight="false" outlineLevel="0" collapsed="false">
      <c r="P480" s="33"/>
    </row>
    <row r="481" customFormat="false" ht="15" hidden="false" customHeight="false" outlineLevel="0" collapsed="false">
      <c r="P481" s="33"/>
    </row>
    <row r="482" customFormat="false" ht="15" hidden="false" customHeight="false" outlineLevel="0" collapsed="false">
      <c r="P482" s="33"/>
    </row>
    <row r="483" customFormat="false" ht="15" hidden="false" customHeight="false" outlineLevel="0" collapsed="false">
      <c r="P483" s="33"/>
    </row>
    <row r="484" customFormat="false" ht="15" hidden="false" customHeight="false" outlineLevel="0" collapsed="false">
      <c r="P484" s="33"/>
    </row>
    <row r="485" customFormat="false" ht="15" hidden="false" customHeight="false" outlineLevel="0" collapsed="false">
      <c r="P485" s="33"/>
    </row>
    <row r="486" customFormat="false" ht="15" hidden="false" customHeight="false" outlineLevel="0" collapsed="false">
      <c r="P486" s="33"/>
    </row>
    <row r="487" customFormat="false" ht="15" hidden="false" customHeight="false" outlineLevel="0" collapsed="false">
      <c r="P487" s="33"/>
    </row>
    <row r="488" customFormat="false" ht="15" hidden="false" customHeight="false" outlineLevel="0" collapsed="false">
      <c r="P488" s="33"/>
    </row>
    <row r="489" customFormat="false" ht="15" hidden="false" customHeight="false" outlineLevel="0" collapsed="false">
      <c r="P489" s="33"/>
    </row>
    <row r="490" customFormat="false" ht="15" hidden="false" customHeight="false" outlineLevel="0" collapsed="false">
      <c r="P490" s="33"/>
    </row>
    <row r="491" customFormat="false" ht="15" hidden="false" customHeight="false" outlineLevel="0" collapsed="false">
      <c r="P491" s="33"/>
    </row>
    <row r="492" customFormat="false" ht="15" hidden="false" customHeight="false" outlineLevel="0" collapsed="false">
      <c r="P492" s="33"/>
    </row>
    <row r="493" customFormat="false" ht="15" hidden="false" customHeight="false" outlineLevel="0" collapsed="false">
      <c r="P493" s="33"/>
    </row>
    <row r="494" customFormat="false" ht="15" hidden="false" customHeight="false" outlineLevel="0" collapsed="false">
      <c r="P494" s="33"/>
    </row>
    <row r="495" customFormat="false" ht="15" hidden="false" customHeight="false" outlineLevel="0" collapsed="false">
      <c r="P495" s="33"/>
    </row>
    <row r="496" customFormat="false" ht="15" hidden="false" customHeight="false" outlineLevel="0" collapsed="false">
      <c r="P496" s="33"/>
    </row>
    <row r="497" customFormat="false" ht="15" hidden="false" customHeight="false" outlineLevel="0" collapsed="false">
      <c r="P497" s="33"/>
    </row>
    <row r="498" customFormat="false" ht="15" hidden="false" customHeight="false" outlineLevel="0" collapsed="false">
      <c r="P498" s="33"/>
    </row>
    <row r="499" customFormat="false" ht="15" hidden="false" customHeight="false" outlineLevel="0" collapsed="false">
      <c r="P499" s="33"/>
    </row>
    <row r="500" customFormat="false" ht="15" hidden="false" customHeight="false" outlineLevel="0" collapsed="false">
      <c r="P500" s="33"/>
    </row>
  </sheetData>
  <autoFilter ref="A1:Q500"/>
  <conditionalFormatting sqref="A2:Q500">
    <cfRule type="expression" priority="2" aboveAverage="0" equalAverage="0" bottom="0" percent="0" rank="0" text="" dxfId="9">
      <formula>$M2="Вырезано"</formula>
    </cfRule>
    <cfRule type="expression" priority="3" aboveAverage="0" equalAverage="0" bottom="0" percent="0" rank="0" text="" dxfId="10">
      <formula>$M2="Готово"</formula>
    </cfRule>
    <cfRule type="expression" priority="4" aboveAverage="0" equalAverage="0" bottom="0" percent="0" rank="0" text="" dxfId="11">
      <formula>$M2="Доработать"</formula>
    </cfRule>
    <cfRule type="expression" priority="5" aboveAverage="0" equalAverage="0" bottom="0" percent="0" rank="0" text="" dxfId="12">
      <formula>$M2="На проверке"</formula>
    </cfRule>
    <cfRule type="expression" priority="6" aboveAverage="0" equalAverage="0" bottom="0" percent="0" rank="0" text="" dxfId="13">
      <formula>$M2="В работе"</formula>
    </cfRule>
    <cfRule type="expression" priority="7" aboveAverage="0" equalAverage="0" bottom="0" percent="0" rank="0" text="" dxfId="14">
      <formula>$M2="Не начато"</formula>
    </cfRule>
  </conditionalFormatting>
  <conditionalFormatting sqref="N2:N500">
    <cfRule type="cellIs" priority="8" operator="equal" aboveAverage="0" equalAverage="0" bottom="0" percent="0" rank="0" text="" dxfId="15">
      <formula>"Высокий"</formula>
    </cfRule>
  </conditionalFormatting>
  <conditionalFormatting sqref="P2:P500">
    <cfRule type="expression" priority="9" aboveAverage="0" equalAverage="0" bottom="0" percent="0" rank="0" text="" dxfId="16">
      <formula>AND($P2&lt;&gt;"",$P2&lt;TODAY(),$M2&lt;&gt;"Готово",$M2&lt;&gt;"Вырезано")</formula>
    </cfRule>
    <cfRule type="expression" priority="10" aboveAverage="0" equalAverage="0" bottom="0" percent="0" rank="0" text="" dxfId="17">
      <formula>AND($P2&lt;&gt;"",$P2-TODAY()&lt;=2,$M2&lt;&gt;"Готово",$M2&lt;&gt;"Вырезано")</formula>
    </cfRule>
  </conditionalFormatting>
  <conditionalFormatting sqref="F2:F500">
    <cfRule type="cellIs" priority="11" operator="greaterThan" aboveAverage="0" equalAverage="0" bottom="0" percent="0" rank="0" text="" dxfId="19">
      <formula>15</formula>
    </cfRule>
  </conditionalFormatting>
  <dataValidations count="6">
    <dataValidation allowBlank="true" error="Выберите значение из списка" errorStyle="stop" errorTitle="Крупность" operator="between" prompt="Выберите из списка" promptTitle="Крупность" showDropDown="false" showErrorMessage="false" showInputMessage="false" sqref="D2:D500" type="list">
      <formula1>Справочник!$F$2:$F$7</formula1>
      <formula2>0</formula2>
    </dataValidation>
    <dataValidation allowBlank="true" error="Выберите значение из списка" errorStyle="stop" errorTitle="Инструмент" operator="between" prompt="Выберите из списка" promptTitle="Инструмент" showDropDown="false" showErrorMessage="false" showInputMessage="false" sqref="I2:I500" type="list">
      <formula1>Справочник!$D$2:$D$7</formula1>
      <formula2>0</formula2>
    </dataValidation>
    <dataValidation allowBlank="true" error="Выберите значение из списка" errorStyle="stop" errorTitle="Этап" operator="between" prompt="Выберите из списка" promptTitle="Этап" showDropDown="false" showErrorMessage="false" showInputMessage="false" sqref="J2:J500" type="list">
      <formula1>Справочник!$E$2:$E$8</formula1>
      <formula2>0</formula2>
    </dataValidation>
    <dataValidation allowBlank="true" error="Выберите значение из списка" errorStyle="stop" errorTitle="Статус" operator="between" prompt="Выберите из списка" promptTitle="Статус" showDropDown="false" showErrorMessage="false" showInputMessage="false" sqref="M2:M500" type="list">
      <formula1>Справочник!$A$2:$A$7</formula1>
      <formula2>0</formula2>
    </dataValidation>
    <dataValidation allowBlank="true" error="Выберите значение из списка" errorStyle="stop" errorTitle="Приоритет" operator="between" prompt="Выберите из списка" promptTitle="Приоритет" showDropDown="false" showErrorMessage="false" showInputMessage="false" sqref="N2:N500" type="list">
      <formula1>Справочник!$B$2:$B$4</formula1>
      <formula2>0</formula2>
    </dataValidation>
    <dataValidation allowBlank="true" error="Введите дату в формате ДД.ММ.ГГГГ" errorStyle="stop" operator="greaterThan" showDropDown="false" showErrorMessage="false" showInputMessage="false" sqref="P2:P500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M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4"/>
  </cols>
  <sheetData>
    <row r="1" customFormat="false" ht="33.75" hidden="false" customHeight="true" outlineLevel="0" collapsed="false">
      <c r="A1" s="25" t="s">
        <v>184</v>
      </c>
      <c r="B1" s="25" t="s">
        <v>446</v>
      </c>
      <c r="C1" s="25" t="s">
        <v>447</v>
      </c>
      <c r="D1" s="25" t="s">
        <v>448</v>
      </c>
      <c r="E1" s="25" t="s">
        <v>449</v>
      </c>
      <c r="F1" s="25" t="s">
        <v>34</v>
      </c>
      <c r="G1" s="26" t="s">
        <v>42</v>
      </c>
      <c r="H1" s="25" t="s">
        <v>450</v>
      </c>
      <c r="I1" s="25" t="s">
        <v>86</v>
      </c>
      <c r="J1" s="25" t="s">
        <v>87</v>
      </c>
      <c r="K1" s="25" t="s">
        <v>88</v>
      </c>
      <c r="L1" s="25" t="s">
        <v>89</v>
      </c>
      <c r="M1" s="25" t="s">
        <v>90</v>
      </c>
    </row>
    <row r="2" customFormat="false" ht="23.85" hidden="false" customHeight="false" outlineLevel="0" collapsed="false">
      <c r="A2" s="27" t="s">
        <v>451</v>
      </c>
      <c r="B2" s="28" t="s">
        <v>452</v>
      </c>
      <c r="C2" s="28" t="s">
        <v>453</v>
      </c>
      <c r="D2" s="28" t="s">
        <v>454</v>
      </c>
      <c r="E2" s="28" t="s">
        <v>455</v>
      </c>
      <c r="F2" s="28" t="s">
        <v>456</v>
      </c>
      <c r="G2" s="30" t="n">
        <f aca="false">IF(A2="","",COUNTIF(Шоты!$G$2:$G$500,"*"&amp;A2&amp;"*"))</f>
        <v>7</v>
      </c>
      <c r="H2" s="28"/>
      <c r="I2" s="28" t="s">
        <v>27</v>
      </c>
      <c r="J2" s="28" t="s">
        <v>99</v>
      </c>
      <c r="K2" s="28"/>
      <c r="L2" s="32"/>
      <c r="M2" s="28" t="s">
        <v>457</v>
      </c>
    </row>
    <row r="3" customFormat="false" ht="23.85" hidden="false" customHeight="false" outlineLevel="0" collapsed="false">
      <c r="A3" s="27" t="s">
        <v>458</v>
      </c>
      <c r="B3" s="28" t="s">
        <v>452</v>
      </c>
      <c r="C3" s="28" t="s">
        <v>459</v>
      </c>
      <c r="D3" s="28" t="s">
        <v>460</v>
      </c>
      <c r="E3" s="28" t="s">
        <v>461</v>
      </c>
      <c r="F3" s="28" t="s">
        <v>462</v>
      </c>
      <c r="G3" s="30" t="n">
        <f aca="false">IF(A3="","",COUNTIF(Шоты!$G$2:$G$500,"*"&amp;A3&amp;"*"))</f>
        <v>9</v>
      </c>
      <c r="H3" s="28"/>
      <c r="I3" s="28" t="s">
        <v>27</v>
      </c>
      <c r="J3" s="28" t="s">
        <v>99</v>
      </c>
      <c r="K3" s="28"/>
      <c r="L3" s="32"/>
      <c r="M3" s="28" t="s">
        <v>463</v>
      </c>
    </row>
    <row r="4" customFormat="false" ht="23.85" hidden="false" customHeight="false" outlineLevel="0" collapsed="false">
      <c r="A4" s="27" t="s">
        <v>464</v>
      </c>
      <c r="B4" s="28" t="s">
        <v>452</v>
      </c>
      <c r="C4" s="28" t="s">
        <v>381</v>
      </c>
      <c r="D4" s="28" t="s">
        <v>465</v>
      </c>
      <c r="E4" s="28" t="s">
        <v>466</v>
      </c>
      <c r="F4" s="28" t="s">
        <v>467</v>
      </c>
      <c r="G4" s="30" t="n">
        <f aca="false">IF(A4="","",COUNTIF(Шоты!$G$2:$G$500,"*"&amp;A4&amp;"*"))</f>
        <v>8</v>
      </c>
      <c r="H4" s="28"/>
      <c r="I4" s="28" t="s">
        <v>27</v>
      </c>
      <c r="J4" s="28" t="s">
        <v>99</v>
      </c>
      <c r="K4" s="28"/>
      <c r="L4" s="32"/>
      <c r="M4" s="28" t="s">
        <v>468</v>
      </c>
    </row>
    <row r="5" customFormat="false" ht="23.85" hidden="false" customHeight="false" outlineLevel="0" collapsed="false">
      <c r="A5" s="27" t="s">
        <v>469</v>
      </c>
      <c r="B5" s="28" t="s">
        <v>452</v>
      </c>
      <c r="C5" s="28" t="s">
        <v>383</v>
      </c>
      <c r="D5" s="28" t="s">
        <v>470</v>
      </c>
      <c r="E5" s="28" t="s">
        <v>471</v>
      </c>
      <c r="F5" s="28" t="s">
        <v>472</v>
      </c>
      <c r="G5" s="30" t="n">
        <f aca="false">IF(A5="","",COUNTIF(Шоты!$G$2:$G$500,"*"&amp;A5&amp;"*"))</f>
        <v>11</v>
      </c>
      <c r="H5" s="28"/>
      <c r="I5" s="28" t="s">
        <v>27</v>
      </c>
      <c r="J5" s="28" t="s">
        <v>99</v>
      </c>
      <c r="K5" s="28"/>
      <c r="L5" s="32"/>
      <c r="M5" s="28"/>
    </row>
    <row r="6" customFormat="false" ht="15" hidden="false" customHeight="false" outlineLevel="0" collapsed="false">
      <c r="A6" s="27" t="s">
        <v>473</v>
      </c>
      <c r="B6" s="28" t="s">
        <v>452</v>
      </c>
      <c r="C6" s="28" t="s">
        <v>112</v>
      </c>
      <c r="D6" s="28" t="s">
        <v>474</v>
      </c>
      <c r="E6" s="28" t="s">
        <v>114</v>
      </c>
      <c r="F6" s="28" t="s">
        <v>475</v>
      </c>
      <c r="G6" s="30" t="n">
        <f aca="false">IF(A6="","",COUNTIF(Шоты!$G$2:$G$500,"*"&amp;A6&amp;"*"))</f>
        <v>2</v>
      </c>
      <c r="H6" s="28"/>
      <c r="I6" s="28" t="s">
        <v>27</v>
      </c>
      <c r="J6" s="28" t="s">
        <v>108</v>
      </c>
      <c r="K6" s="28"/>
      <c r="L6" s="32"/>
      <c r="M6" s="28"/>
    </row>
    <row r="7" customFormat="false" ht="35.05" hidden="false" customHeight="false" outlineLevel="0" collapsed="false">
      <c r="A7" s="27" t="s">
        <v>476</v>
      </c>
      <c r="B7" s="28" t="s">
        <v>452</v>
      </c>
      <c r="C7" s="28" t="s">
        <v>477</v>
      </c>
      <c r="D7" s="28" t="s">
        <v>478</v>
      </c>
      <c r="E7" s="28" t="s">
        <v>114</v>
      </c>
      <c r="F7" s="28" t="s">
        <v>114</v>
      </c>
      <c r="G7" s="30" t="n">
        <f aca="false">IF(A7="","",COUNTIF(Шоты!$G$2:$G$500,"*"&amp;A7&amp;"*"))</f>
        <v>0</v>
      </c>
      <c r="H7" s="28"/>
      <c r="I7" s="28" t="s">
        <v>27</v>
      </c>
      <c r="J7" s="28" t="s">
        <v>108</v>
      </c>
      <c r="K7" s="28"/>
      <c r="L7" s="32"/>
      <c r="M7" s="28" t="s">
        <v>479</v>
      </c>
    </row>
    <row r="8" customFormat="false" ht="15" hidden="false" customHeight="false" outlineLevel="0" collapsed="false">
      <c r="A8" s="27" t="s">
        <v>480</v>
      </c>
      <c r="B8" s="28" t="s">
        <v>481</v>
      </c>
      <c r="C8" s="28" t="s">
        <v>482</v>
      </c>
      <c r="D8" s="28" t="s">
        <v>483</v>
      </c>
      <c r="E8" s="28" t="s">
        <v>114</v>
      </c>
      <c r="F8" s="28" t="s">
        <v>484</v>
      </c>
      <c r="G8" s="30" t="n">
        <f aca="false">IF(A8="","",COUNTIF(Шоты!$G$2:$G$500,"*"&amp;A8&amp;"*"))</f>
        <v>1</v>
      </c>
      <c r="H8" s="28"/>
      <c r="I8" s="28" t="s">
        <v>27</v>
      </c>
      <c r="J8" s="28" t="s">
        <v>108</v>
      </c>
      <c r="K8" s="28"/>
      <c r="L8" s="32"/>
      <c r="M8" s="28"/>
    </row>
    <row r="9" customFormat="false" ht="23.85" hidden="false" customHeight="false" outlineLevel="0" collapsed="false">
      <c r="A9" s="27" t="s">
        <v>485</v>
      </c>
      <c r="B9" s="28" t="s">
        <v>452</v>
      </c>
      <c r="C9" s="28" t="s">
        <v>486</v>
      </c>
      <c r="D9" s="28" t="s">
        <v>487</v>
      </c>
      <c r="E9" s="28" t="s">
        <v>488</v>
      </c>
      <c r="F9" s="28" t="s">
        <v>489</v>
      </c>
      <c r="G9" s="30" t="n">
        <f aca="false">IF(A9="","",COUNTIF(Шоты!$G$2:$G$500,"*"&amp;A9&amp;"*"))</f>
        <v>3</v>
      </c>
      <c r="H9" s="28"/>
      <c r="I9" s="28" t="s">
        <v>27</v>
      </c>
      <c r="J9" s="28" t="s">
        <v>108</v>
      </c>
      <c r="K9" s="28"/>
      <c r="L9" s="32"/>
      <c r="M9" s="28" t="s">
        <v>490</v>
      </c>
    </row>
    <row r="10" customFormat="false" ht="15" hidden="false" customHeight="false" outlineLevel="0" collapsed="false">
      <c r="A10" s="27" t="s">
        <v>491</v>
      </c>
      <c r="B10" s="28" t="s">
        <v>481</v>
      </c>
      <c r="C10" s="28" t="s">
        <v>492</v>
      </c>
      <c r="D10" s="28"/>
      <c r="E10" s="28"/>
      <c r="F10" s="28" t="s">
        <v>493</v>
      </c>
      <c r="G10" s="30" t="n">
        <f aca="false">IF(A10="","",COUNTIF(Шоты!$G$2:$G$500,"*"&amp;A10&amp;"*"))</f>
        <v>2</v>
      </c>
      <c r="H10" s="28"/>
      <c r="I10" s="28" t="s">
        <v>27</v>
      </c>
      <c r="J10" s="28" t="s">
        <v>108</v>
      </c>
      <c r="K10" s="28"/>
      <c r="L10" s="32"/>
      <c r="M10" s="28"/>
    </row>
    <row r="11" customFormat="false" ht="23.85" hidden="false" customHeight="false" outlineLevel="0" collapsed="false">
      <c r="A11" s="27" t="s">
        <v>494</v>
      </c>
      <c r="B11" s="28" t="s">
        <v>481</v>
      </c>
      <c r="C11" s="28" t="s">
        <v>495</v>
      </c>
      <c r="D11" s="28" t="s">
        <v>496</v>
      </c>
      <c r="E11" s="28"/>
      <c r="F11" s="28" t="s">
        <v>497</v>
      </c>
      <c r="G11" s="30" t="n">
        <f aca="false">IF(A11="","",COUNTIF(Шоты!$G$2:$G$500,"*"&amp;A11&amp;"*"))</f>
        <v>6</v>
      </c>
      <c r="H11" s="28"/>
      <c r="I11" s="28" t="s">
        <v>27</v>
      </c>
      <c r="J11" s="28" t="s">
        <v>108</v>
      </c>
      <c r="K11" s="28"/>
      <c r="L11" s="32"/>
      <c r="M11" s="28"/>
    </row>
    <row r="12" customFormat="false" ht="23.85" hidden="false" customHeight="false" outlineLevel="0" collapsed="false">
      <c r="A12" s="27" t="s">
        <v>498</v>
      </c>
      <c r="B12" s="28" t="s">
        <v>481</v>
      </c>
      <c r="C12" s="28" t="s">
        <v>499</v>
      </c>
      <c r="D12" s="28"/>
      <c r="E12" s="28" t="s">
        <v>500</v>
      </c>
      <c r="F12" s="28" t="s">
        <v>501</v>
      </c>
      <c r="G12" s="30" t="n">
        <f aca="false">IF(A12="","",COUNTIF(Шоты!$G$2:$G$500,"*"&amp;A12&amp;"*"))</f>
        <v>5</v>
      </c>
      <c r="H12" s="28"/>
      <c r="I12" s="28" t="s">
        <v>27</v>
      </c>
      <c r="J12" s="28" t="s">
        <v>108</v>
      </c>
      <c r="K12" s="28"/>
      <c r="L12" s="32"/>
      <c r="M12" s="28"/>
    </row>
    <row r="13" customFormat="false" ht="23.85" hidden="false" customHeight="false" outlineLevel="0" collapsed="false">
      <c r="A13" s="27" t="s">
        <v>502</v>
      </c>
      <c r="B13" s="28" t="s">
        <v>481</v>
      </c>
      <c r="C13" s="28" t="s">
        <v>503</v>
      </c>
      <c r="D13" s="28" t="s">
        <v>504</v>
      </c>
      <c r="E13" s="28"/>
      <c r="F13" s="28" t="s">
        <v>505</v>
      </c>
      <c r="G13" s="30" t="n">
        <f aca="false">IF(A13="","",COUNTIF(Шоты!$G$2:$G$500,"*"&amp;A13&amp;"*"))</f>
        <v>3</v>
      </c>
      <c r="H13" s="28"/>
      <c r="I13" s="28" t="s">
        <v>27</v>
      </c>
      <c r="J13" s="28" t="s">
        <v>108</v>
      </c>
      <c r="K13" s="28"/>
      <c r="L13" s="32"/>
      <c r="M13" s="28"/>
    </row>
    <row r="14" customFormat="false" ht="15" hidden="false" customHeight="false" outlineLevel="0" collapsed="false">
      <c r="A14" s="27" t="s">
        <v>506</v>
      </c>
      <c r="B14" s="28" t="s">
        <v>481</v>
      </c>
      <c r="C14" s="28" t="s">
        <v>507</v>
      </c>
      <c r="D14" s="28"/>
      <c r="E14" s="28"/>
      <c r="F14" s="28" t="s">
        <v>508</v>
      </c>
      <c r="G14" s="30" t="n">
        <f aca="false">IF(A14="","",COUNTIF(Шоты!$G$2:$G$500,"*"&amp;A14&amp;"*"))</f>
        <v>1</v>
      </c>
      <c r="H14" s="28"/>
      <c r="I14" s="28" t="s">
        <v>27</v>
      </c>
      <c r="J14" s="28" t="s">
        <v>108</v>
      </c>
      <c r="K14" s="28"/>
      <c r="L14" s="32"/>
      <c r="M14" s="28"/>
    </row>
    <row r="15" customFormat="false" ht="35.05" hidden="false" customHeight="false" outlineLevel="0" collapsed="false">
      <c r="A15" s="27" t="s">
        <v>509</v>
      </c>
      <c r="B15" s="28" t="s">
        <v>510</v>
      </c>
      <c r="C15" s="28" t="s">
        <v>511</v>
      </c>
      <c r="D15" s="28" t="s">
        <v>512</v>
      </c>
      <c r="E15" s="28" t="s">
        <v>513</v>
      </c>
      <c r="F15" s="28" t="s">
        <v>514</v>
      </c>
      <c r="G15" s="30" t="n">
        <f aca="false">IF(A15="","",COUNTIF(Шоты!$G$2:$G$500,"*"&amp;A15&amp;"*"))</f>
        <v>6</v>
      </c>
      <c r="H15" s="28"/>
      <c r="I15" s="28" t="s">
        <v>27</v>
      </c>
      <c r="J15" s="28" t="s">
        <v>99</v>
      </c>
      <c r="K15" s="28"/>
      <c r="L15" s="32"/>
      <c r="M15" s="28" t="s">
        <v>515</v>
      </c>
    </row>
    <row r="16" customFormat="false" ht="15" hidden="false" customHeight="false" outlineLevel="0" collapsed="false">
      <c r="A16" s="27" t="s">
        <v>516</v>
      </c>
      <c r="B16" s="28" t="s">
        <v>510</v>
      </c>
      <c r="C16" s="28" t="s">
        <v>517</v>
      </c>
      <c r="D16" s="28"/>
      <c r="E16" s="28" t="s">
        <v>518</v>
      </c>
      <c r="F16" s="28" t="s">
        <v>519</v>
      </c>
      <c r="G16" s="30" t="n">
        <f aca="false">IF(A16="","",COUNTIF(Шоты!$G$2:$G$500,"*"&amp;A16&amp;"*"))</f>
        <v>4</v>
      </c>
      <c r="H16" s="28"/>
      <c r="I16" s="28" t="s">
        <v>27</v>
      </c>
      <c r="J16" s="28" t="s">
        <v>108</v>
      </c>
      <c r="K16" s="28"/>
      <c r="L16" s="32"/>
      <c r="M16" s="28"/>
    </row>
    <row r="17" customFormat="false" ht="15" hidden="false" customHeight="false" outlineLevel="0" collapsed="false">
      <c r="A17" s="27" t="s">
        <v>520</v>
      </c>
      <c r="B17" s="28" t="s">
        <v>510</v>
      </c>
      <c r="C17" s="28" t="s">
        <v>521</v>
      </c>
      <c r="D17" s="28" t="s">
        <v>522</v>
      </c>
      <c r="E17" s="28" t="s">
        <v>523</v>
      </c>
      <c r="F17" s="28" t="s">
        <v>524</v>
      </c>
      <c r="G17" s="30" t="n">
        <f aca="false">IF(A17="","",COUNTIF(Шоты!$G$2:$G$500,"*"&amp;A17&amp;"*"))</f>
        <v>4</v>
      </c>
      <c r="H17" s="28"/>
      <c r="I17" s="28" t="s">
        <v>27</v>
      </c>
      <c r="J17" s="28" t="s">
        <v>108</v>
      </c>
      <c r="K17" s="28"/>
      <c r="L17" s="32"/>
      <c r="M17" s="28"/>
    </row>
    <row r="18" customFormat="false" ht="23.85" hidden="false" customHeight="false" outlineLevel="0" collapsed="false">
      <c r="A18" s="27" t="s">
        <v>525</v>
      </c>
      <c r="B18" s="28" t="s">
        <v>510</v>
      </c>
      <c r="C18" s="28" t="s">
        <v>526</v>
      </c>
      <c r="D18" s="28"/>
      <c r="E18" s="28"/>
      <c r="F18" s="28" t="s">
        <v>527</v>
      </c>
      <c r="G18" s="30" t="n">
        <f aca="false">IF(A18="","",COUNTIF(Шоты!$G$2:$G$500,"*"&amp;A18&amp;"*"))</f>
        <v>1</v>
      </c>
      <c r="H18" s="28"/>
      <c r="I18" s="28" t="s">
        <v>27</v>
      </c>
      <c r="J18" s="28" t="s">
        <v>108</v>
      </c>
      <c r="K18" s="28"/>
      <c r="L18" s="32"/>
      <c r="M18" s="28"/>
    </row>
    <row r="19" customFormat="false" ht="23.85" hidden="false" customHeight="false" outlineLevel="0" collapsed="false">
      <c r="A19" s="27" t="s">
        <v>528</v>
      </c>
      <c r="B19" s="28" t="s">
        <v>529</v>
      </c>
      <c r="C19" s="28" t="s">
        <v>530</v>
      </c>
      <c r="D19" s="28" t="s">
        <v>531</v>
      </c>
      <c r="E19" s="28" t="s">
        <v>532</v>
      </c>
      <c r="F19" s="28" t="s">
        <v>533</v>
      </c>
      <c r="G19" s="30" t="n">
        <f aca="false">IF(A19="","",COUNTIF(Шоты!$G$2:$G$500,"*"&amp;A19&amp;"*"))</f>
        <v>7</v>
      </c>
      <c r="H19" s="28"/>
      <c r="I19" s="28" t="s">
        <v>27</v>
      </c>
      <c r="J19" s="28" t="s">
        <v>99</v>
      </c>
      <c r="K19" s="28"/>
      <c r="L19" s="32"/>
      <c r="M19" s="28" t="s">
        <v>534</v>
      </c>
    </row>
    <row r="20" customFormat="false" ht="15" hidden="false" customHeight="false" outlineLevel="0" collapsed="false">
      <c r="A20" s="27" t="s">
        <v>535</v>
      </c>
      <c r="B20" s="28" t="s">
        <v>529</v>
      </c>
      <c r="C20" s="28" t="s">
        <v>536</v>
      </c>
      <c r="D20" s="28" t="s">
        <v>537</v>
      </c>
      <c r="E20" s="28"/>
      <c r="F20" s="28" t="s">
        <v>493</v>
      </c>
      <c r="G20" s="30" t="n">
        <f aca="false">IF(A20="","",COUNTIF(Шоты!$G$2:$G$500,"*"&amp;A20&amp;"*"))</f>
        <v>2</v>
      </c>
      <c r="H20" s="28"/>
      <c r="I20" s="28" t="s">
        <v>27</v>
      </c>
      <c r="J20" s="28" t="s">
        <v>108</v>
      </c>
      <c r="K20" s="28"/>
      <c r="L20" s="32"/>
      <c r="M20" s="28"/>
    </row>
    <row r="21" customFormat="false" ht="23.85" hidden="false" customHeight="false" outlineLevel="0" collapsed="false">
      <c r="A21" s="27" t="s">
        <v>538</v>
      </c>
      <c r="B21" s="28" t="s">
        <v>529</v>
      </c>
      <c r="C21" s="28" t="s">
        <v>539</v>
      </c>
      <c r="D21" s="28"/>
      <c r="E21" s="28" t="s">
        <v>540</v>
      </c>
      <c r="F21" s="28" t="s">
        <v>475</v>
      </c>
      <c r="G21" s="30" t="n">
        <f aca="false">IF(A21="","",COUNTIF(Шоты!$G$2:$G$500,"*"&amp;A21&amp;"*"))</f>
        <v>3</v>
      </c>
      <c r="H21" s="28"/>
      <c r="I21" s="28" t="s">
        <v>27</v>
      </c>
      <c r="J21" s="28" t="s">
        <v>108</v>
      </c>
      <c r="K21" s="28"/>
      <c r="L21" s="32"/>
      <c r="M21" s="28"/>
    </row>
    <row r="22" customFormat="false" ht="15" hidden="false" customHeight="false" outlineLevel="0" collapsed="false">
      <c r="A22" s="27" t="s">
        <v>541</v>
      </c>
      <c r="B22" s="28" t="s">
        <v>529</v>
      </c>
      <c r="C22" s="28" t="s">
        <v>542</v>
      </c>
      <c r="D22" s="28" t="s">
        <v>543</v>
      </c>
      <c r="E22" s="28"/>
      <c r="F22" s="28" t="s">
        <v>493</v>
      </c>
      <c r="G22" s="30" t="n">
        <f aca="false">IF(A22="","",COUNTIF(Шоты!$G$2:$G$500,"*"&amp;A22&amp;"*"))</f>
        <v>1</v>
      </c>
      <c r="H22" s="28"/>
      <c r="I22" s="28" t="s">
        <v>27</v>
      </c>
      <c r="J22" s="28" t="s">
        <v>108</v>
      </c>
      <c r="K22" s="28"/>
      <c r="L22" s="32"/>
      <c r="M22" s="28"/>
    </row>
    <row r="23" customFormat="false" ht="23.85" hidden="false" customHeight="false" outlineLevel="0" collapsed="false">
      <c r="A23" s="27" t="s">
        <v>544</v>
      </c>
      <c r="B23" s="28" t="s">
        <v>545</v>
      </c>
      <c r="C23" s="28" t="s">
        <v>546</v>
      </c>
      <c r="D23" s="28" t="s">
        <v>547</v>
      </c>
      <c r="E23" s="28" t="s">
        <v>548</v>
      </c>
      <c r="F23" s="28" t="s">
        <v>549</v>
      </c>
      <c r="G23" s="30" t="n">
        <f aca="false">IF(A23="","",COUNTIF(Шоты!$G$2:$G$500,"*"&amp;A23&amp;"*"))</f>
        <v>7</v>
      </c>
      <c r="H23" s="28"/>
      <c r="I23" s="28" t="s">
        <v>27</v>
      </c>
      <c r="J23" s="28" t="s">
        <v>99</v>
      </c>
      <c r="K23" s="28"/>
      <c r="L23" s="32"/>
      <c r="M23" s="28" t="s">
        <v>550</v>
      </c>
    </row>
    <row r="24" customFormat="false" ht="23.85" hidden="false" customHeight="false" outlineLevel="0" collapsed="false">
      <c r="A24" s="27" t="s">
        <v>551</v>
      </c>
      <c r="B24" s="28" t="s">
        <v>529</v>
      </c>
      <c r="C24" s="28" t="s">
        <v>552</v>
      </c>
      <c r="D24" s="28" t="s">
        <v>553</v>
      </c>
      <c r="E24" s="28" t="s">
        <v>554</v>
      </c>
      <c r="F24" s="28" t="s">
        <v>555</v>
      </c>
      <c r="G24" s="30" t="n">
        <f aca="false">IF(A24="","",COUNTIF(Шоты!$G$2:$G$500,"*"&amp;A24&amp;"*"))</f>
        <v>5</v>
      </c>
      <c r="H24" s="28"/>
      <c r="I24" s="28" t="s">
        <v>27</v>
      </c>
      <c r="J24" s="28" t="s">
        <v>108</v>
      </c>
      <c r="K24" s="28"/>
      <c r="L24" s="32"/>
      <c r="M24" s="28"/>
    </row>
    <row r="25" customFormat="false" ht="23.85" hidden="false" customHeight="false" outlineLevel="0" collapsed="false">
      <c r="A25" s="27" t="s">
        <v>556</v>
      </c>
      <c r="B25" s="28" t="s">
        <v>545</v>
      </c>
      <c r="C25" s="28" t="s">
        <v>557</v>
      </c>
      <c r="D25" s="28"/>
      <c r="E25" s="28" t="s">
        <v>558</v>
      </c>
      <c r="F25" s="28" t="s">
        <v>559</v>
      </c>
      <c r="G25" s="30" t="n">
        <f aca="false">IF(A25="","",COUNTIF(Шоты!$G$2:$G$500,"*"&amp;A25&amp;"*"))</f>
        <v>3</v>
      </c>
      <c r="H25" s="28"/>
      <c r="I25" s="28" t="s">
        <v>27</v>
      </c>
      <c r="J25" s="28" t="s">
        <v>108</v>
      </c>
      <c r="K25" s="28"/>
      <c r="L25" s="32"/>
      <c r="M25" s="28"/>
    </row>
    <row r="26" customFormat="false" ht="23.85" hidden="false" customHeight="false" outlineLevel="0" collapsed="false">
      <c r="A26" s="27" t="s">
        <v>560</v>
      </c>
      <c r="B26" s="28" t="s">
        <v>545</v>
      </c>
      <c r="C26" s="28" t="s">
        <v>561</v>
      </c>
      <c r="D26" s="28" t="s">
        <v>562</v>
      </c>
      <c r="E26" s="28" t="s">
        <v>563</v>
      </c>
      <c r="F26" s="28" t="s">
        <v>564</v>
      </c>
      <c r="G26" s="30" t="n">
        <f aca="false">IF(A26="","",COUNTIF(Шоты!$G$2:$G$500,"*"&amp;A26&amp;"*"))</f>
        <v>3</v>
      </c>
      <c r="H26" s="28"/>
      <c r="I26" s="28" t="s">
        <v>27</v>
      </c>
      <c r="J26" s="28" t="s">
        <v>108</v>
      </c>
      <c r="K26" s="28"/>
      <c r="L26" s="32"/>
      <c r="M26" s="28"/>
    </row>
    <row r="27" customFormat="false" ht="15" hidden="false" customHeight="false" outlineLevel="0" collapsed="false">
      <c r="A27" s="27" t="s">
        <v>565</v>
      </c>
      <c r="B27" s="28" t="s">
        <v>545</v>
      </c>
      <c r="C27" s="28" t="s">
        <v>566</v>
      </c>
      <c r="D27" s="28" t="s">
        <v>567</v>
      </c>
      <c r="E27" s="28"/>
      <c r="F27" s="28" t="s">
        <v>527</v>
      </c>
      <c r="G27" s="30" t="n">
        <f aca="false">IF(A27="","",COUNTIF(Шоты!$G$2:$G$500,"*"&amp;A27&amp;"*"))</f>
        <v>1</v>
      </c>
      <c r="H27" s="28"/>
      <c r="I27" s="28" t="s">
        <v>27</v>
      </c>
      <c r="J27" s="28" t="s">
        <v>108</v>
      </c>
      <c r="K27" s="28"/>
      <c r="L27" s="32"/>
      <c r="M27" s="28"/>
    </row>
    <row r="28" customFormat="false" ht="23.85" hidden="false" customHeight="false" outlineLevel="0" collapsed="false">
      <c r="A28" s="27" t="s">
        <v>568</v>
      </c>
      <c r="B28" s="28" t="s">
        <v>545</v>
      </c>
      <c r="C28" s="28" t="s">
        <v>569</v>
      </c>
      <c r="D28" s="28" t="s">
        <v>570</v>
      </c>
      <c r="E28" s="28"/>
      <c r="F28" s="28" t="s">
        <v>527</v>
      </c>
      <c r="G28" s="30" t="n">
        <f aca="false">IF(A28="","",COUNTIF(Шоты!$G$2:$G$500,"*"&amp;A28&amp;"*"))</f>
        <v>1</v>
      </c>
      <c r="H28" s="28"/>
      <c r="I28" s="28" t="s">
        <v>27</v>
      </c>
      <c r="J28" s="28" t="s">
        <v>108</v>
      </c>
      <c r="K28" s="28"/>
      <c r="L28" s="32"/>
      <c r="M28" s="28"/>
    </row>
    <row r="29" customFormat="false" ht="15" hidden="false" customHeight="false" outlineLevel="0" collapsed="false">
      <c r="A29" s="27" t="s">
        <v>571</v>
      </c>
      <c r="B29" s="28" t="s">
        <v>545</v>
      </c>
      <c r="C29" s="28" t="s">
        <v>572</v>
      </c>
      <c r="D29" s="28" t="s">
        <v>573</v>
      </c>
      <c r="E29" s="28"/>
      <c r="F29" s="28" t="s">
        <v>574</v>
      </c>
      <c r="G29" s="30" t="n">
        <f aca="false">IF(A29="","",COUNTIF(Шоты!$G$2:$G$500,"*"&amp;A29&amp;"*"))</f>
        <v>2</v>
      </c>
      <c r="H29" s="28"/>
      <c r="I29" s="28" t="s">
        <v>27</v>
      </c>
      <c r="J29" s="28" t="s">
        <v>108</v>
      </c>
      <c r="K29" s="28"/>
      <c r="L29" s="32"/>
      <c r="M29" s="28"/>
    </row>
    <row r="30" customFormat="false" ht="23.85" hidden="false" customHeight="false" outlineLevel="0" collapsed="false">
      <c r="A30" s="27" t="s">
        <v>358</v>
      </c>
      <c r="B30" s="28" t="s">
        <v>529</v>
      </c>
      <c r="C30" s="28" t="s">
        <v>575</v>
      </c>
      <c r="D30" s="28"/>
      <c r="E30" s="28" t="s">
        <v>576</v>
      </c>
      <c r="F30" s="28" t="s">
        <v>577</v>
      </c>
      <c r="G30" s="30" t="n">
        <f aca="false">IF(A30="","",COUNTIF(Шоты!$G$2:$G$500,"*"&amp;A30&amp;"*"))</f>
        <v>2</v>
      </c>
      <c r="H30" s="28"/>
      <c r="I30" s="28" t="s">
        <v>27</v>
      </c>
      <c r="J30" s="28" t="s">
        <v>108</v>
      </c>
      <c r="K30" s="28"/>
      <c r="L30" s="32"/>
      <c r="M30" s="28"/>
    </row>
    <row r="31" customFormat="false" ht="15" hidden="false" customHeight="false" outlineLevel="0" collapsed="false">
      <c r="A31" s="27" t="s">
        <v>578</v>
      </c>
      <c r="B31" s="28" t="s">
        <v>529</v>
      </c>
      <c r="C31" s="28" t="s">
        <v>579</v>
      </c>
      <c r="D31" s="28"/>
      <c r="E31" s="28"/>
      <c r="F31" s="28" t="s">
        <v>489</v>
      </c>
      <c r="G31" s="30" t="n">
        <f aca="false">IF(A31="","",COUNTIF(Шоты!$G$2:$G$500,"*"&amp;A31&amp;"*"))</f>
        <v>2</v>
      </c>
      <c r="H31" s="28"/>
      <c r="I31" s="28" t="s">
        <v>27</v>
      </c>
      <c r="J31" s="28" t="s">
        <v>108</v>
      </c>
      <c r="K31" s="28"/>
      <c r="L31" s="32"/>
      <c r="M31" s="28"/>
    </row>
    <row r="32" customFormat="false" ht="23.85" hidden="false" customHeight="false" outlineLevel="0" collapsed="false">
      <c r="A32" s="27" t="s">
        <v>580</v>
      </c>
      <c r="B32" s="28" t="s">
        <v>529</v>
      </c>
      <c r="C32" s="28" t="s">
        <v>581</v>
      </c>
      <c r="D32" s="28"/>
      <c r="E32" s="28" t="s">
        <v>582</v>
      </c>
      <c r="F32" s="28" t="s">
        <v>583</v>
      </c>
      <c r="G32" s="30" t="n">
        <f aca="false">IF(A32="","",COUNTIF(Шоты!$G$2:$G$500,"*"&amp;A32&amp;"*"))</f>
        <v>4</v>
      </c>
      <c r="H32" s="28"/>
      <c r="I32" s="28" t="s">
        <v>27</v>
      </c>
      <c r="J32" s="28" t="s">
        <v>108</v>
      </c>
      <c r="K32" s="28"/>
      <c r="L32" s="32"/>
      <c r="M32" s="28"/>
    </row>
    <row r="33" customFormat="false" ht="15" hidden="false" customHeight="false" outlineLevel="0" collapsed="false">
      <c r="A33" s="27" t="s">
        <v>584</v>
      </c>
      <c r="B33" s="28" t="s">
        <v>529</v>
      </c>
      <c r="C33" s="28" t="s">
        <v>585</v>
      </c>
      <c r="D33" s="28" t="s">
        <v>586</v>
      </c>
      <c r="E33" s="28"/>
      <c r="F33" s="28" t="s">
        <v>587</v>
      </c>
      <c r="G33" s="30" t="n">
        <f aca="false">IF(A33="","",COUNTIF(Шоты!$G$2:$G$500,"*"&amp;A33&amp;"*"))</f>
        <v>1</v>
      </c>
      <c r="H33" s="28"/>
      <c r="I33" s="28" t="s">
        <v>27</v>
      </c>
      <c r="J33" s="28" t="s">
        <v>108</v>
      </c>
      <c r="K33" s="28"/>
      <c r="L33" s="32"/>
      <c r="M33" s="28"/>
    </row>
    <row r="34" customFormat="false" ht="15" hidden="false" customHeight="false" outlineLevel="0" collapsed="false">
      <c r="A34" s="27" t="s">
        <v>588</v>
      </c>
      <c r="B34" s="28" t="s">
        <v>71</v>
      </c>
      <c r="C34" s="28" t="s">
        <v>589</v>
      </c>
      <c r="D34" s="28"/>
      <c r="E34" s="28" t="s">
        <v>590</v>
      </c>
      <c r="F34" s="28" t="s">
        <v>591</v>
      </c>
      <c r="G34" s="30" t="n">
        <f aca="false">IF(A34="","",COUNTIF(Шоты!$G$2:$G$500,"*"&amp;A34&amp;"*"))</f>
        <v>4</v>
      </c>
      <c r="H34" s="28"/>
      <c r="I34" s="28" t="s">
        <v>27</v>
      </c>
      <c r="J34" s="28" t="s">
        <v>108</v>
      </c>
      <c r="K34" s="28"/>
      <c r="L34" s="32"/>
      <c r="M34" s="28"/>
    </row>
    <row r="35" customFormat="false" ht="23.85" hidden="false" customHeight="false" outlineLevel="0" collapsed="false">
      <c r="A35" s="27" t="s">
        <v>592</v>
      </c>
      <c r="B35" s="28" t="s">
        <v>71</v>
      </c>
      <c r="C35" s="28" t="s">
        <v>593</v>
      </c>
      <c r="D35" s="28"/>
      <c r="E35" s="28" t="s">
        <v>594</v>
      </c>
      <c r="F35" s="28" t="s">
        <v>595</v>
      </c>
      <c r="G35" s="30" t="n">
        <f aca="false">IF(A35="","",COUNTIF(Шоты!$G$2:$G$500,"*"&amp;A35&amp;"*"))</f>
        <v>8</v>
      </c>
      <c r="H35" s="28"/>
      <c r="I35" s="28" t="s">
        <v>27</v>
      </c>
      <c r="J35" s="28" t="s">
        <v>108</v>
      </c>
      <c r="K35" s="28"/>
      <c r="L35" s="32"/>
      <c r="M35" s="28" t="s">
        <v>596</v>
      </c>
    </row>
    <row r="36" customFormat="false" ht="23.85" hidden="false" customHeight="false" outlineLevel="0" collapsed="false">
      <c r="A36" s="27" t="s">
        <v>597</v>
      </c>
      <c r="B36" s="28" t="s">
        <v>71</v>
      </c>
      <c r="C36" s="28" t="s">
        <v>598</v>
      </c>
      <c r="D36" s="28"/>
      <c r="E36" s="28" t="s">
        <v>594</v>
      </c>
      <c r="F36" s="28" t="s">
        <v>599</v>
      </c>
      <c r="G36" s="30" t="n">
        <f aca="false">IF(A36="","",COUNTIF(Шоты!$G$2:$G$500,"*"&amp;A36&amp;"*"))</f>
        <v>5</v>
      </c>
      <c r="H36" s="28"/>
      <c r="I36" s="28" t="s">
        <v>27</v>
      </c>
      <c r="J36" s="28" t="s">
        <v>108</v>
      </c>
      <c r="K36" s="28"/>
      <c r="L36" s="32"/>
      <c r="M36" s="28" t="s">
        <v>600</v>
      </c>
    </row>
    <row r="37" customFormat="false" ht="15" hidden="false" customHeight="false" outlineLevel="0" collapsed="false">
      <c r="A37" s="27" t="s">
        <v>601</v>
      </c>
      <c r="B37" s="28" t="s">
        <v>71</v>
      </c>
      <c r="C37" s="28" t="s">
        <v>602</v>
      </c>
      <c r="D37" s="28"/>
      <c r="E37" s="28"/>
      <c r="F37" s="28" t="s">
        <v>603</v>
      </c>
      <c r="G37" s="30" t="n">
        <f aca="false">IF(A37="","",COUNTIF(Шоты!$G$2:$G$500,"*"&amp;A37&amp;"*"))</f>
        <v>5</v>
      </c>
      <c r="H37" s="28"/>
      <c r="I37" s="28" t="s">
        <v>27</v>
      </c>
      <c r="J37" s="28" t="s">
        <v>108</v>
      </c>
      <c r="K37" s="28"/>
      <c r="L37" s="32"/>
      <c r="M37" s="28"/>
    </row>
    <row r="38" customFormat="false" ht="15" hidden="false" customHeight="false" outlineLevel="0" collapsed="false">
      <c r="A38" s="27" t="s">
        <v>604</v>
      </c>
      <c r="B38" s="28" t="s">
        <v>71</v>
      </c>
      <c r="C38" s="28" t="s">
        <v>605</v>
      </c>
      <c r="D38" s="28"/>
      <c r="E38" s="28"/>
      <c r="F38" s="28" t="s">
        <v>606</v>
      </c>
      <c r="G38" s="30" t="n">
        <f aca="false">IF(A38="","",COUNTIF(Шоты!$G$2:$G$500,"*"&amp;A38&amp;"*"))</f>
        <v>6</v>
      </c>
      <c r="H38" s="28"/>
      <c r="I38" s="28" t="s">
        <v>27</v>
      </c>
      <c r="J38" s="28" t="s">
        <v>108</v>
      </c>
      <c r="K38" s="28"/>
      <c r="L38" s="32"/>
      <c r="M38" s="28"/>
    </row>
    <row r="39" customFormat="false" ht="23.85" hidden="false" customHeight="false" outlineLevel="0" collapsed="false">
      <c r="A39" s="27" t="s">
        <v>607</v>
      </c>
      <c r="B39" s="28" t="s">
        <v>71</v>
      </c>
      <c r="C39" s="28" t="s">
        <v>110</v>
      </c>
      <c r="D39" s="28" t="s">
        <v>608</v>
      </c>
      <c r="E39" s="28"/>
      <c r="F39" s="28" t="s">
        <v>475</v>
      </c>
      <c r="G39" s="30" t="n">
        <f aca="false">IF(A39="","",COUNTIF(Шоты!$G$2:$G$500,"*"&amp;A39&amp;"*"))</f>
        <v>2</v>
      </c>
      <c r="H39" s="28"/>
      <c r="I39" s="28" t="s">
        <v>27</v>
      </c>
      <c r="J39" s="28" t="s">
        <v>108</v>
      </c>
      <c r="K39" s="28"/>
      <c r="L39" s="32"/>
      <c r="M39" s="28"/>
    </row>
    <row r="40" customFormat="false" ht="15" hidden="false" customHeight="false" outlineLevel="0" collapsed="false">
      <c r="A40" s="27" t="s">
        <v>609</v>
      </c>
      <c r="B40" s="28" t="s">
        <v>71</v>
      </c>
      <c r="C40" s="28" t="s">
        <v>610</v>
      </c>
      <c r="D40" s="28" t="s">
        <v>611</v>
      </c>
      <c r="E40" s="28"/>
      <c r="F40" s="28" t="s">
        <v>612</v>
      </c>
      <c r="G40" s="30" t="n">
        <f aca="false">IF(A40="","",COUNTIF(Шоты!$G$2:$G$500,"*"&amp;A40&amp;"*"))</f>
        <v>2</v>
      </c>
      <c r="H40" s="28"/>
      <c r="I40" s="28" t="s">
        <v>27</v>
      </c>
      <c r="J40" s="28" t="s">
        <v>108</v>
      </c>
      <c r="K40" s="28"/>
      <c r="L40" s="32"/>
      <c r="M40" s="28"/>
    </row>
    <row r="41" customFormat="false" ht="15" hidden="false" customHeight="false" outlineLevel="0" collapsed="false">
      <c r="A41" s="27" t="s">
        <v>613</v>
      </c>
      <c r="B41" s="28" t="s">
        <v>71</v>
      </c>
      <c r="C41" s="28" t="s">
        <v>614</v>
      </c>
      <c r="D41" s="28"/>
      <c r="E41" s="28" t="s">
        <v>615</v>
      </c>
      <c r="F41" s="28" t="s">
        <v>616</v>
      </c>
      <c r="G41" s="30" t="n">
        <f aca="false">IF(A41="","",COUNTIF(Шоты!$G$2:$G$500,"*"&amp;A41&amp;"*"))</f>
        <v>2</v>
      </c>
      <c r="H41" s="28"/>
      <c r="I41" s="28" t="s">
        <v>27</v>
      </c>
      <c r="J41" s="28" t="s">
        <v>108</v>
      </c>
      <c r="K41" s="28"/>
      <c r="L41" s="32"/>
      <c r="M41" s="28"/>
    </row>
    <row r="42" customFormat="false" ht="15" hidden="false" customHeight="false" outlineLevel="0" collapsed="false">
      <c r="A42" s="27" t="s">
        <v>617</v>
      </c>
      <c r="B42" s="28" t="s">
        <v>71</v>
      </c>
      <c r="C42" s="28" t="s">
        <v>618</v>
      </c>
      <c r="D42" s="28"/>
      <c r="E42" s="28"/>
      <c r="F42" s="28" t="s">
        <v>616</v>
      </c>
      <c r="G42" s="30" t="n">
        <f aca="false">IF(A42="","",COUNTIF(Шоты!$G$2:$G$500,"*"&amp;A42&amp;"*"))</f>
        <v>2</v>
      </c>
      <c r="H42" s="28"/>
      <c r="I42" s="28" t="s">
        <v>27</v>
      </c>
      <c r="J42" s="28" t="s">
        <v>108</v>
      </c>
      <c r="K42" s="28"/>
      <c r="L42" s="32"/>
      <c r="M42" s="28"/>
    </row>
    <row r="43" customFormat="false" ht="23.85" hidden="false" customHeight="false" outlineLevel="0" collapsed="false">
      <c r="A43" s="27" t="s">
        <v>619</v>
      </c>
      <c r="B43" s="28" t="s">
        <v>71</v>
      </c>
      <c r="C43" s="28" t="s">
        <v>620</v>
      </c>
      <c r="D43" s="28"/>
      <c r="E43" s="28"/>
      <c r="F43" s="28" t="s">
        <v>508</v>
      </c>
      <c r="G43" s="30" t="n">
        <f aca="false">IF(A43="","",COUNTIF(Шоты!$G$2:$G$500,"*"&amp;A43&amp;"*"))</f>
        <v>2</v>
      </c>
      <c r="H43" s="28"/>
      <c r="I43" s="28" t="s">
        <v>27</v>
      </c>
      <c r="J43" s="28" t="s">
        <v>108</v>
      </c>
      <c r="K43" s="28"/>
      <c r="L43" s="32"/>
      <c r="M43" s="28" t="s">
        <v>621</v>
      </c>
    </row>
    <row r="44" customFormat="false" ht="15" hidden="false" customHeight="false" outlineLevel="0" collapsed="false">
      <c r="A44" s="27" t="s">
        <v>622</v>
      </c>
      <c r="B44" s="28" t="s">
        <v>71</v>
      </c>
      <c r="C44" s="28" t="s">
        <v>623</v>
      </c>
      <c r="D44" s="28"/>
      <c r="E44" s="28"/>
      <c r="F44" s="28" t="s">
        <v>508</v>
      </c>
      <c r="G44" s="30" t="n">
        <f aca="false">IF(A44="","",COUNTIF(Шоты!$G$2:$G$500,"*"&amp;A44&amp;"*"))</f>
        <v>1</v>
      </c>
      <c r="H44" s="28"/>
      <c r="I44" s="28" t="s">
        <v>27</v>
      </c>
      <c r="J44" s="28" t="s">
        <v>108</v>
      </c>
      <c r="K44" s="28"/>
      <c r="L44" s="32"/>
      <c r="M44" s="28"/>
    </row>
    <row r="45" customFormat="false" ht="15" hidden="false" customHeight="false" outlineLevel="0" collapsed="false">
      <c r="A45" s="27" t="s">
        <v>624</v>
      </c>
      <c r="B45" s="28" t="s">
        <v>71</v>
      </c>
      <c r="C45" s="28" t="s">
        <v>625</v>
      </c>
      <c r="D45" s="28"/>
      <c r="E45" s="28"/>
      <c r="F45" s="28" t="s">
        <v>508</v>
      </c>
      <c r="G45" s="30" t="n">
        <f aca="false">IF(A45="","",COUNTIF(Шоты!$G$2:$G$500,"*"&amp;A45&amp;"*"))</f>
        <v>1</v>
      </c>
      <c r="H45" s="28"/>
      <c r="I45" s="28" t="s">
        <v>27</v>
      </c>
      <c r="J45" s="28" t="s">
        <v>108</v>
      </c>
      <c r="K45" s="28"/>
      <c r="L45" s="32"/>
      <c r="M45" s="28"/>
    </row>
    <row r="46" customFormat="false" ht="15" hidden="false" customHeight="false" outlineLevel="0" collapsed="false">
      <c r="A46" s="27" t="s">
        <v>626</v>
      </c>
      <c r="B46" s="28" t="s">
        <v>71</v>
      </c>
      <c r="C46" s="28" t="s">
        <v>627</v>
      </c>
      <c r="D46" s="28"/>
      <c r="E46" s="28" t="s">
        <v>148</v>
      </c>
      <c r="F46" s="28" t="s">
        <v>484</v>
      </c>
      <c r="G46" s="30" t="n">
        <f aca="false">IF(A46="","",COUNTIF(Шоты!$G$2:$G$500,"*"&amp;A46&amp;"*"))</f>
        <v>1</v>
      </c>
      <c r="H46" s="28"/>
      <c r="I46" s="28" t="s">
        <v>27</v>
      </c>
      <c r="J46" s="28" t="s">
        <v>108</v>
      </c>
      <c r="K46" s="28"/>
      <c r="L46" s="32"/>
      <c r="M46" s="28"/>
    </row>
    <row r="47" customFormat="false" ht="15" hidden="false" customHeight="false" outlineLevel="0" collapsed="false">
      <c r="A47" s="27" t="s">
        <v>628</v>
      </c>
      <c r="B47" s="28" t="s">
        <v>71</v>
      </c>
      <c r="C47" s="28" t="s">
        <v>629</v>
      </c>
      <c r="D47" s="28" t="s">
        <v>630</v>
      </c>
      <c r="E47" s="28" t="s">
        <v>631</v>
      </c>
      <c r="F47" s="28" t="s">
        <v>632</v>
      </c>
      <c r="G47" s="30" t="n">
        <f aca="false">IF(A47="","",COUNTIF(Шоты!$G$2:$G$500,"*"&amp;A47&amp;"*"))</f>
        <v>2</v>
      </c>
      <c r="H47" s="28"/>
      <c r="I47" s="28" t="s">
        <v>27</v>
      </c>
      <c r="J47" s="28" t="s">
        <v>99</v>
      </c>
      <c r="K47" s="28"/>
      <c r="L47" s="32"/>
      <c r="M47" s="28" t="s">
        <v>633</v>
      </c>
    </row>
    <row r="48" customFormat="false" ht="15" hidden="false" customHeight="false" outlineLevel="0" collapsed="false">
      <c r="A48" s="27" t="s">
        <v>634</v>
      </c>
      <c r="B48" s="28" t="s">
        <v>635</v>
      </c>
      <c r="C48" s="28" t="s">
        <v>636</v>
      </c>
      <c r="D48" s="28" t="s">
        <v>637</v>
      </c>
      <c r="E48" s="28" t="s">
        <v>638</v>
      </c>
      <c r="F48" s="28" t="s">
        <v>639</v>
      </c>
      <c r="G48" s="30" t="n">
        <f aca="false">IF(A48="","",COUNTIF(Шоты!$G$2:$G$500,"*"&amp;A48&amp;"*"))</f>
        <v>3</v>
      </c>
      <c r="H48" s="28"/>
      <c r="I48" s="28" t="s">
        <v>27</v>
      </c>
      <c r="J48" s="28" t="s">
        <v>108</v>
      </c>
      <c r="K48" s="28"/>
      <c r="L48" s="32"/>
      <c r="M48" s="28"/>
    </row>
    <row r="49" customFormat="false" ht="15" hidden="false" customHeight="false" outlineLevel="0" collapsed="false">
      <c r="A49" s="27" t="s">
        <v>640</v>
      </c>
      <c r="B49" s="28" t="s">
        <v>635</v>
      </c>
      <c r="C49" s="28" t="s">
        <v>641</v>
      </c>
      <c r="D49" s="28" t="s">
        <v>642</v>
      </c>
      <c r="E49" s="28" t="s">
        <v>638</v>
      </c>
      <c r="F49" s="28" t="s">
        <v>639</v>
      </c>
      <c r="G49" s="30" t="n">
        <f aca="false">IF(A49="","",COUNTIF(Шоты!$G$2:$G$500,"*"&amp;A49&amp;"*"))</f>
        <v>3</v>
      </c>
      <c r="H49" s="28"/>
      <c r="I49" s="28" t="s">
        <v>27</v>
      </c>
      <c r="J49" s="28" t="s">
        <v>108</v>
      </c>
      <c r="K49" s="28"/>
      <c r="L49" s="32"/>
      <c r="M49" s="28"/>
    </row>
    <row r="50" customFormat="false" ht="23.85" hidden="false" customHeight="false" outlineLevel="0" collapsed="false">
      <c r="A50" s="27" t="s">
        <v>643</v>
      </c>
      <c r="B50" s="28" t="s">
        <v>635</v>
      </c>
      <c r="C50" s="28" t="s">
        <v>644</v>
      </c>
      <c r="D50" s="28"/>
      <c r="E50" s="28"/>
      <c r="F50" s="28" t="s">
        <v>645</v>
      </c>
      <c r="G50" s="30" t="n">
        <f aca="false">IF(A50="","",COUNTIF(Шоты!$G$2:$G$500,"*"&amp;A50&amp;"*"))</f>
        <v>1</v>
      </c>
      <c r="H50" s="28"/>
      <c r="I50" s="28" t="s">
        <v>27</v>
      </c>
      <c r="J50" s="28" t="s">
        <v>108</v>
      </c>
      <c r="K50" s="28"/>
      <c r="L50" s="32"/>
      <c r="M50" s="28"/>
    </row>
    <row r="51" customFormat="false" ht="23.85" hidden="false" customHeight="false" outlineLevel="0" collapsed="false">
      <c r="A51" s="27" t="s">
        <v>646</v>
      </c>
      <c r="B51" s="28" t="s">
        <v>647</v>
      </c>
      <c r="C51" s="28" t="s">
        <v>648</v>
      </c>
      <c r="D51" s="28"/>
      <c r="E51" s="28" t="s">
        <v>649</v>
      </c>
      <c r="F51" s="28" t="s">
        <v>650</v>
      </c>
      <c r="G51" s="30" t="n">
        <f aca="false">IF(A51="","",COUNTIF(Шоты!$G$2:$G$500,"*"&amp;A51&amp;"*"))</f>
        <v>6</v>
      </c>
      <c r="H51" s="28"/>
      <c r="I51" s="28" t="s">
        <v>27</v>
      </c>
      <c r="J51" s="28" t="s">
        <v>108</v>
      </c>
      <c r="K51" s="28"/>
      <c r="L51" s="32"/>
      <c r="M51" s="28"/>
    </row>
    <row r="52" customFormat="false" ht="23.85" hidden="false" customHeight="false" outlineLevel="0" collapsed="false">
      <c r="A52" s="27" t="s">
        <v>651</v>
      </c>
      <c r="B52" s="28" t="s">
        <v>647</v>
      </c>
      <c r="C52" s="28" t="s">
        <v>652</v>
      </c>
      <c r="D52" s="28"/>
      <c r="E52" s="28"/>
      <c r="F52" s="28" t="s">
        <v>508</v>
      </c>
      <c r="G52" s="30" t="n">
        <f aca="false">IF(A52="","",COUNTIF(Шоты!$G$2:$G$500,"*"&amp;A52&amp;"*"))</f>
        <v>1</v>
      </c>
      <c r="H52" s="28"/>
      <c r="I52" s="28" t="s">
        <v>27</v>
      </c>
      <c r="J52" s="28" t="s">
        <v>108</v>
      </c>
      <c r="K52" s="28"/>
      <c r="L52" s="32"/>
      <c r="M52" s="28"/>
    </row>
    <row r="53" customFormat="false" ht="23.85" hidden="false" customHeight="false" outlineLevel="0" collapsed="false">
      <c r="A53" s="27" t="s">
        <v>653</v>
      </c>
      <c r="B53" s="28" t="s">
        <v>647</v>
      </c>
      <c r="C53" s="28" t="s">
        <v>654</v>
      </c>
      <c r="D53" s="28"/>
      <c r="E53" s="28"/>
      <c r="F53" s="28" t="s">
        <v>655</v>
      </c>
      <c r="G53" s="30" t="n">
        <f aca="false">IF(A53="","",COUNTIF(Шоты!$G$2:$G$500,"*"&amp;A53&amp;"*"))</f>
        <v>2</v>
      </c>
      <c r="H53" s="28"/>
      <c r="I53" s="28" t="s">
        <v>27</v>
      </c>
      <c r="J53" s="28" t="s">
        <v>108</v>
      </c>
      <c r="K53" s="28"/>
      <c r="L53" s="32"/>
      <c r="M53" s="28"/>
    </row>
    <row r="54" customFormat="false" ht="23.85" hidden="false" customHeight="false" outlineLevel="0" collapsed="false">
      <c r="A54" s="27" t="s">
        <v>656</v>
      </c>
      <c r="B54" s="28" t="s">
        <v>647</v>
      </c>
      <c r="C54" s="28" t="s">
        <v>657</v>
      </c>
      <c r="D54" s="28"/>
      <c r="E54" s="28"/>
      <c r="F54" s="28" t="s">
        <v>658</v>
      </c>
      <c r="G54" s="30" t="n">
        <f aca="false">IF(A54="","",COUNTIF(Шоты!$G$2:$G$500,"*"&amp;A54&amp;"*"))</f>
        <v>1</v>
      </c>
      <c r="H54" s="28"/>
      <c r="I54" s="28" t="s">
        <v>27</v>
      </c>
      <c r="J54" s="28" t="s">
        <v>108</v>
      </c>
      <c r="K54" s="28"/>
      <c r="L54" s="32"/>
      <c r="M54" s="28"/>
    </row>
    <row r="55" customFormat="false" ht="23.85" hidden="false" customHeight="false" outlineLevel="0" collapsed="false">
      <c r="A55" s="27" t="s">
        <v>659</v>
      </c>
      <c r="B55" s="28" t="s">
        <v>660</v>
      </c>
      <c r="C55" s="28" t="s">
        <v>661</v>
      </c>
      <c r="D55" s="28" t="s">
        <v>662</v>
      </c>
      <c r="E55" s="28" t="s">
        <v>663</v>
      </c>
      <c r="F55" s="28" t="s">
        <v>664</v>
      </c>
      <c r="G55" s="30" t="n">
        <f aca="false">IF(A55="","",COUNTIF(Шоты!$G$2:$G$500,"*"&amp;A55&amp;"*"))</f>
        <v>5</v>
      </c>
      <c r="H55" s="28"/>
      <c r="I55" s="28" t="s">
        <v>27</v>
      </c>
      <c r="J55" s="28" t="s">
        <v>99</v>
      </c>
      <c r="K55" s="28"/>
      <c r="L55" s="32"/>
      <c r="M55" s="28" t="s">
        <v>665</v>
      </c>
    </row>
    <row r="56" customFormat="false" ht="15" hidden="false" customHeight="false" outlineLevel="0" collapsed="false">
      <c r="A56" s="38"/>
      <c r="G56" s="39" t="str">
        <f aca="false">IF(A56="","",COUNTIF(Шоты!$G$2:$G$500,"*"&amp;A56&amp;"*"))</f>
        <v/>
      </c>
      <c r="L56" s="33"/>
    </row>
    <row r="57" customFormat="false" ht="15" hidden="false" customHeight="false" outlineLevel="0" collapsed="false">
      <c r="A57" s="38"/>
      <c r="G57" s="39" t="str">
        <f aca="false">IF(A57="","",COUNTIF(Шоты!$G$2:$G$500,"*"&amp;A57&amp;"*"))</f>
        <v/>
      </c>
      <c r="L57" s="33"/>
    </row>
    <row r="58" customFormat="false" ht="15" hidden="false" customHeight="false" outlineLevel="0" collapsed="false">
      <c r="A58" s="38"/>
      <c r="G58" s="39" t="str">
        <f aca="false">IF(A58="","",COUNTIF(Шоты!$G$2:$G$500,"*"&amp;A58&amp;"*"))</f>
        <v/>
      </c>
      <c r="L58" s="33"/>
    </row>
    <row r="59" customFormat="false" ht="15" hidden="false" customHeight="false" outlineLevel="0" collapsed="false">
      <c r="A59" s="38"/>
      <c r="G59" s="39" t="str">
        <f aca="false">IF(A59="","",COUNTIF(Шоты!$G$2:$G$500,"*"&amp;A59&amp;"*"))</f>
        <v/>
      </c>
      <c r="L59" s="33"/>
    </row>
    <row r="60" customFormat="false" ht="15" hidden="false" customHeight="false" outlineLevel="0" collapsed="false">
      <c r="A60" s="38"/>
      <c r="G60" s="39" t="str">
        <f aca="false">IF(A60="","",COUNTIF(Шоты!$G$2:$G$500,"*"&amp;A60&amp;"*"))</f>
        <v/>
      </c>
      <c r="L60" s="33"/>
    </row>
    <row r="61" customFormat="false" ht="15" hidden="false" customHeight="false" outlineLevel="0" collapsed="false">
      <c r="A61" s="38"/>
      <c r="G61" s="39" t="str">
        <f aca="false">IF(A61="","",COUNTIF(Шоты!$G$2:$G$500,"*"&amp;A61&amp;"*"))</f>
        <v/>
      </c>
      <c r="L61" s="33"/>
    </row>
    <row r="62" customFormat="false" ht="15" hidden="false" customHeight="false" outlineLevel="0" collapsed="false">
      <c r="A62" s="38"/>
      <c r="G62" s="39" t="str">
        <f aca="false">IF(A62="","",COUNTIF(Шоты!$G$2:$G$500,"*"&amp;A62&amp;"*"))</f>
        <v/>
      </c>
      <c r="L62" s="33"/>
    </row>
    <row r="63" customFormat="false" ht="15" hidden="false" customHeight="false" outlineLevel="0" collapsed="false">
      <c r="A63" s="38"/>
      <c r="G63" s="39" t="str">
        <f aca="false">IF(A63="","",COUNTIF(Шоты!$G$2:$G$500,"*"&amp;A63&amp;"*"))</f>
        <v/>
      </c>
      <c r="L63" s="33"/>
    </row>
    <row r="64" customFormat="false" ht="15" hidden="false" customHeight="false" outlineLevel="0" collapsed="false">
      <c r="A64" s="38"/>
      <c r="G64" s="39" t="str">
        <f aca="false">IF(A64="","",COUNTIF(Шоты!$G$2:$G$500,"*"&amp;A64&amp;"*"))</f>
        <v/>
      </c>
      <c r="L64" s="33"/>
    </row>
    <row r="65" customFormat="false" ht="15" hidden="false" customHeight="false" outlineLevel="0" collapsed="false">
      <c r="A65" s="38"/>
      <c r="G65" s="39" t="str">
        <f aca="false">IF(A65="","",COUNTIF(Шоты!$G$2:$G$500,"*"&amp;A65&amp;"*"))</f>
        <v/>
      </c>
      <c r="L65" s="33"/>
    </row>
    <row r="66" customFormat="false" ht="15" hidden="false" customHeight="false" outlineLevel="0" collapsed="false">
      <c r="A66" s="38"/>
      <c r="G66" s="39" t="str">
        <f aca="false">IF(A66="","",COUNTIF(Шоты!$G$2:$G$500,"*"&amp;A66&amp;"*"))</f>
        <v/>
      </c>
      <c r="L66" s="33"/>
    </row>
    <row r="67" customFormat="false" ht="15" hidden="false" customHeight="false" outlineLevel="0" collapsed="false">
      <c r="A67" s="38"/>
      <c r="G67" s="39" t="str">
        <f aca="false">IF(A67="","",COUNTIF(Шоты!$G$2:$G$500,"*"&amp;A67&amp;"*"))</f>
        <v/>
      </c>
      <c r="L67" s="33"/>
    </row>
    <row r="68" customFormat="false" ht="15" hidden="false" customHeight="false" outlineLevel="0" collapsed="false">
      <c r="A68" s="38"/>
      <c r="G68" s="39" t="str">
        <f aca="false">IF(A68="","",COUNTIF(Шоты!$G$2:$G$500,"*"&amp;A68&amp;"*"))</f>
        <v/>
      </c>
      <c r="L68" s="33"/>
    </row>
    <row r="69" customFormat="false" ht="15" hidden="false" customHeight="false" outlineLevel="0" collapsed="false">
      <c r="A69" s="38"/>
      <c r="G69" s="39" t="str">
        <f aca="false">IF(A69="","",COUNTIF(Шоты!$G$2:$G$500,"*"&amp;A69&amp;"*"))</f>
        <v/>
      </c>
      <c r="L69" s="33"/>
    </row>
    <row r="70" customFormat="false" ht="15" hidden="false" customHeight="false" outlineLevel="0" collapsed="false">
      <c r="A70" s="38"/>
      <c r="G70" s="39" t="str">
        <f aca="false">IF(A70="","",COUNTIF(Шоты!$G$2:$G$500,"*"&amp;A70&amp;"*"))</f>
        <v/>
      </c>
      <c r="L70" s="33"/>
    </row>
    <row r="71" customFormat="false" ht="15" hidden="false" customHeight="false" outlineLevel="0" collapsed="false">
      <c r="A71" s="38"/>
      <c r="G71" s="39" t="str">
        <f aca="false">IF(A71="","",COUNTIF(Шоты!$G$2:$G$500,"*"&amp;A71&amp;"*"))</f>
        <v/>
      </c>
      <c r="L71" s="33"/>
    </row>
    <row r="72" customFormat="false" ht="15" hidden="false" customHeight="false" outlineLevel="0" collapsed="false">
      <c r="A72" s="38"/>
      <c r="G72" s="39" t="str">
        <f aca="false">IF(A72="","",COUNTIF(Шоты!$G$2:$G$500,"*"&amp;A72&amp;"*"))</f>
        <v/>
      </c>
      <c r="L72" s="33"/>
    </row>
    <row r="73" customFormat="false" ht="15" hidden="false" customHeight="false" outlineLevel="0" collapsed="false">
      <c r="A73" s="38"/>
      <c r="G73" s="39" t="str">
        <f aca="false">IF(A73="","",COUNTIF(Шоты!$G$2:$G$500,"*"&amp;A73&amp;"*"))</f>
        <v/>
      </c>
      <c r="L73" s="33"/>
    </row>
    <row r="74" customFormat="false" ht="15" hidden="false" customHeight="false" outlineLevel="0" collapsed="false">
      <c r="A74" s="38"/>
      <c r="G74" s="39" t="str">
        <f aca="false">IF(A74="","",COUNTIF(Шоты!$G$2:$G$500,"*"&amp;A74&amp;"*"))</f>
        <v/>
      </c>
      <c r="L74" s="33"/>
    </row>
    <row r="75" customFormat="false" ht="15" hidden="false" customHeight="false" outlineLevel="0" collapsed="false">
      <c r="A75" s="38"/>
      <c r="G75" s="39" t="str">
        <f aca="false">IF(A75="","",COUNTIF(Шоты!$G$2:$G$500,"*"&amp;A75&amp;"*"))</f>
        <v/>
      </c>
      <c r="L75" s="33"/>
    </row>
    <row r="76" customFormat="false" ht="15" hidden="false" customHeight="false" outlineLevel="0" collapsed="false">
      <c r="A76" s="38"/>
      <c r="G76" s="39" t="str">
        <f aca="false">IF(A76="","",COUNTIF(Шоты!$G$2:$G$500,"*"&amp;A76&amp;"*"))</f>
        <v/>
      </c>
      <c r="L76" s="33"/>
    </row>
    <row r="77" customFormat="false" ht="15" hidden="false" customHeight="false" outlineLevel="0" collapsed="false">
      <c r="A77" s="38"/>
      <c r="G77" s="39" t="str">
        <f aca="false">IF(A77="","",COUNTIF(Шоты!$G$2:$G$500,"*"&amp;A77&amp;"*"))</f>
        <v/>
      </c>
      <c r="L77" s="33"/>
    </row>
    <row r="78" customFormat="false" ht="15" hidden="false" customHeight="false" outlineLevel="0" collapsed="false">
      <c r="A78" s="38"/>
      <c r="G78" s="39" t="str">
        <f aca="false">IF(A78="","",COUNTIF(Шоты!$G$2:$G$500,"*"&amp;A78&amp;"*"))</f>
        <v/>
      </c>
      <c r="L78" s="33"/>
    </row>
    <row r="79" customFormat="false" ht="15" hidden="false" customHeight="false" outlineLevel="0" collapsed="false">
      <c r="A79" s="38"/>
      <c r="G79" s="39" t="str">
        <f aca="false">IF(A79="","",COUNTIF(Шоты!$G$2:$G$500,"*"&amp;A79&amp;"*"))</f>
        <v/>
      </c>
      <c r="L79" s="33"/>
    </row>
    <row r="80" customFormat="false" ht="15" hidden="false" customHeight="false" outlineLevel="0" collapsed="false">
      <c r="A80" s="38"/>
      <c r="G80" s="39" t="str">
        <f aca="false">IF(A80="","",COUNTIF(Шоты!$G$2:$G$500,"*"&amp;A80&amp;"*"))</f>
        <v/>
      </c>
      <c r="L80" s="33"/>
    </row>
    <row r="81" customFormat="false" ht="15" hidden="false" customHeight="false" outlineLevel="0" collapsed="false">
      <c r="A81" s="38"/>
      <c r="G81" s="39" t="str">
        <f aca="false">IF(A81="","",COUNTIF(Шоты!$G$2:$G$500,"*"&amp;A81&amp;"*"))</f>
        <v/>
      </c>
      <c r="L81" s="33"/>
    </row>
    <row r="82" customFormat="false" ht="15" hidden="false" customHeight="false" outlineLevel="0" collapsed="false">
      <c r="A82" s="38"/>
      <c r="G82" s="39" t="str">
        <f aca="false">IF(A82="","",COUNTIF(Шоты!$G$2:$G$500,"*"&amp;A82&amp;"*"))</f>
        <v/>
      </c>
      <c r="L82" s="33"/>
    </row>
    <row r="83" customFormat="false" ht="15" hidden="false" customHeight="false" outlineLevel="0" collapsed="false">
      <c r="A83" s="38"/>
      <c r="G83" s="39" t="str">
        <f aca="false">IF(A83="","",COUNTIF(Шоты!$G$2:$G$500,"*"&amp;A83&amp;"*"))</f>
        <v/>
      </c>
      <c r="L83" s="33"/>
    </row>
    <row r="84" customFormat="false" ht="15" hidden="false" customHeight="false" outlineLevel="0" collapsed="false">
      <c r="A84" s="38"/>
      <c r="G84" s="39" t="str">
        <f aca="false">IF(A84="","",COUNTIF(Шоты!$G$2:$G$500,"*"&amp;A84&amp;"*"))</f>
        <v/>
      </c>
      <c r="L84" s="33"/>
    </row>
    <row r="85" customFormat="false" ht="15" hidden="false" customHeight="false" outlineLevel="0" collapsed="false">
      <c r="A85" s="38"/>
      <c r="G85" s="39" t="str">
        <f aca="false">IF(A85="","",COUNTIF(Шоты!$G$2:$G$500,"*"&amp;A85&amp;"*"))</f>
        <v/>
      </c>
      <c r="L85" s="33"/>
    </row>
    <row r="86" customFormat="false" ht="15" hidden="false" customHeight="false" outlineLevel="0" collapsed="false">
      <c r="A86" s="38"/>
      <c r="G86" s="39" t="str">
        <f aca="false">IF(A86="","",COUNTIF(Шоты!$G$2:$G$500,"*"&amp;A86&amp;"*"))</f>
        <v/>
      </c>
      <c r="L86" s="33"/>
    </row>
    <row r="87" customFormat="false" ht="15" hidden="false" customHeight="false" outlineLevel="0" collapsed="false">
      <c r="A87" s="38"/>
      <c r="G87" s="39" t="str">
        <f aca="false">IF(A87="","",COUNTIF(Шоты!$G$2:$G$500,"*"&amp;A87&amp;"*"))</f>
        <v/>
      </c>
      <c r="L87" s="33"/>
    </row>
    <row r="88" customFormat="false" ht="15" hidden="false" customHeight="false" outlineLevel="0" collapsed="false">
      <c r="A88" s="38"/>
      <c r="G88" s="39" t="str">
        <f aca="false">IF(A88="","",COUNTIF(Шоты!$G$2:$G$500,"*"&amp;A88&amp;"*"))</f>
        <v/>
      </c>
      <c r="L88" s="33"/>
    </row>
    <row r="89" customFormat="false" ht="15" hidden="false" customHeight="false" outlineLevel="0" collapsed="false">
      <c r="A89" s="38"/>
      <c r="G89" s="39" t="str">
        <f aca="false">IF(A89="","",COUNTIF(Шоты!$G$2:$G$500,"*"&amp;A89&amp;"*"))</f>
        <v/>
      </c>
      <c r="L89" s="33"/>
    </row>
    <row r="90" customFormat="false" ht="15" hidden="false" customHeight="false" outlineLevel="0" collapsed="false">
      <c r="A90" s="38"/>
      <c r="G90" s="39" t="str">
        <f aca="false">IF(A90="","",COUNTIF(Шоты!$G$2:$G$500,"*"&amp;A90&amp;"*"))</f>
        <v/>
      </c>
      <c r="L90" s="33"/>
    </row>
    <row r="91" customFormat="false" ht="15" hidden="false" customHeight="false" outlineLevel="0" collapsed="false">
      <c r="A91" s="38"/>
      <c r="G91" s="39" t="str">
        <f aca="false">IF(A91="","",COUNTIF(Шоты!$G$2:$G$500,"*"&amp;A91&amp;"*"))</f>
        <v/>
      </c>
      <c r="L91" s="33"/>
    </row>
    <row r="92" customFormat="false" ht="15" hidden="false" customHeight="false" outlineLevel="0" collapsed="false">
      <c r="A92" s="38"/>
      <c r="G92" s="39" t="str">
        <f aca="false">IF(A92="","",COUNTIF(Шоты!$G$2:$G$500,"*"&amp;A92&amp;"*"))</f>
        <v/>
      </c>
      <c r="L92" s="33"/>
    </row>
    <row r="93" customFormat="false" ht="15" hidden="false" customHeight="false" outlineLevel="0" collapsed="false">
      <c r="A93" s="38"/>
      <c r="G93" s="39" t="str">
        <f aca="false">IF(A93="","",COUNTIF(Шоты!$G$2:$G$500,"*"&amp;A93&amp;"*"))</f>
        <v/>
      </c>
      <c r="L93" s="33"/>
    </row>
    <row r="94" customFormat="false" ht="15" hidden="false" customHeight="false" outlineLevel="0" collapsed="false">
      <c r="A94" s="38"/>
      <c r="G94" s="39" t="str">
        <f aca="false">IF(A94="","",COUNTIF(Шоты!$G$2:$G$500,"*"&amp;A94&amp;"*"))</f>
        <v/>
      </c>
      <c r="L94" s="33"/>
    </row>
    <row r="95" customFormat="false" ht="15" hidden="false" customHeight="false" outlineLevel="0" collapsed="false">
      <c r="A95" s="38"/>
      <c r="G95" s="39" t="str">
        <f aca="false">IF(A95="","",COUNTIF(Шоты!$G$2:$G$500,"*"&amp;A95&amp;"*"))</f>
        <v/>
      </c>
      <c r="L95" s="33"/>
    </row>
    <row r="96" customFormat="false" ht="15" hidden="false" customHeight="false" outlineLevel="0" collapsed="false">
      <c r="A96" s="38"/>
      <c r="G96" s="39" t="str">
        <f aca="false">IF(A96="","",COUNTIF(Шоты!$G$2:$G$500,"*"&amp;A96&amp;"*"))</f>
        <v/>
      </c>
      <c r="L96" s="33"/>
    </row>
    <row r="97" customFormat="false" ht="15" hidden="false" customHeight="false" outlineLevel="0" collapsed="false">
      <c r="A97" s="38"/>
      <c r="G97" s="39" t="str">
        <f aca="false">IF(A97="","",COUNTIF(Шоты!$G$2:$G$500,"*"&amp;A97&amp;"*"))</f>
        <v/>
      </c>
      <c r="L97" s="33"/>
    </row>
    <row r="98" customFormat="false" ht="15" hidden="false" customHeight="false" outlineLevel="0" collapsed="false">
      <c r="A98" s="38"/>
      <c r="G98" s="39" t="str">
        <f aca="false">IF(A98="","",COUNTIF(Шоты!$G$2:$G$500,"*"&amp;A98&amp;"*"))</f>
        <v/>
      </c>
      <c r="L98" s="33"/>
    </row>
    <row r="99" customFormat="false" ht="15" hidden="false" customHeight="false" outlineLevel="0" collapsed="false">
      <c r="A99" s="38"/>
      <c r="G99" s="39" t="str">
        <f aca="false">IF(A99="","",COUNTIF(Шоты!$G$2:$G$500,"*"&amp;A99&amp;"*"))</f>
        <v/>
      </c>
      <c r="L99" s="33"/>
    </row>
    <row r="100" customFormat="false" ht="15" hidden="false" customHeight="false" outlineLevel="0" collapsed="false">
      <c r="A100" s="38"/>
      <c r="G100" s="39" t="str">
        <f aca="false">IF(A100="","",COUNTIF(Шоты!$G$2:$G$500,"*"&amp;A100&amp;"*"))</f>
        <v/>
      </c>
      <c r="L100" s="33"/>
    </row>
    <row r="101" customFormat="false" ht="15" hidden="false" customHeight="false" outlineLevel="0" collapsed="false">
      <c r="A101" s="38"/>
      <c r="G101" s="39" t="str">
        <f aca="false">IF(A101="","",COUNTIF(Шоты!$G$2:$G$500,"*"&amp;A101&amp;"*"))</f>
        <v/>
      </c>
      <c r="L101" s="33"/>
    </row>
    <row r="102" customFormat="false" ht="15" hidden="false" customHeight="false" outlineLevel="0" collapsed="false">
      <c r="A102" s="38"/>
      <c r="G102" s="39" t="str">
        <f aca="false">IF(A102="","",COUNTIF(Шоты!$G$2:$G$500,"*"&amp;A102&amp;"*"))</f>
        <v/>
      </c>
      <c r="L102" s="33"/>
    </row>
    <row r="103" customFormat="false" ht="15" hidden="false" customHeight="false" outlineLevel="0" collapsed="false">
      <c r="A103" s="38"/>
      <c r="G103" s="39" t="str">
        <f aca="false">IF(A103="","",COUNTIF(Шоты!$G$2:$G$500,"*"&amp;A103&amp;"*"))</f>
        <v/>
      </c>
      <c r="L103" s="33"/>
    </row>
    <row r="104" customFormat="false" ht="15" hidden="false" customHeight="false" outlineLevel="0" collapsed="false">
      <c r="A104" s="38"/>
      <c r="G104" s="39" t="str">
        <f aca="false">IF(A104="","",COUNTIF(Шоты!$G$2:$G$500,"*"&amp;A104&amp;"*"))</f>
        <v/>
      </c>
      <c r="L104" s="33"/>
    </row>
    <row r="105" customFormat="false" ht="15" hidden="false" customHeight="false" outlineLevel="0" collapsed="false">
      <c r="A105" s="38"/>
      <c r="G105" s="39" t="str">
        <f aca="false">IF(A105="","",COUNTIF(Шоты!$G$2:$G$500,"*"&amp;A105&amp;"*"))</f>
        <v/>
      </c>
      <c r="L105" s="33"/>
    </row>
    <row r="106" customFormat="false" ht="15" hidden="false" customHeight="false" outlineLevel="0" collapsed="false">
      <c r="A106" s="38"/>
      <c r="G106" s="39" t="str">
        <f aca="false">IF(A106="","",COUNTIF(Шоты!$G$2:$G$500,"*"&amp;A106&amp;"*"))</f>
        <v/>
      </c>
      <c r="L106" s="33"/>
    </row>
    <row r="107" customFormat="false" ht="15" hidden="false" customHeight="false" outlineLevel="0" collapsed="false">
      <c r="A107" s="38"/>
      <c r="G107" s="39" t="str">
        <f aca="false">IF(A107="","",COUNTIF(Шоты!$G$2:$G$500,"*"&amp;A107&amp;"*"))</f>
        <v/>
      </c>
      <c r="L107" s="33"/>
    </row>
    <row r="108" customFormat="false" ht="15" hidden="false" customHeight="false" outlineLevel="0" collapsed="false">
      <c r="A108" s="38"/>
      <c r="G108" s="39" t="str">
        <f aca="false">IF(A108="","",COUNTIF(Шоты!$G$2:$G$500,"*"&amp;A108&amp;"*"))</f>
        <v/>
      </c>
      <c r="L108" s="33"/>
    </row>
    <row r="109" customFormat="false" ht="15" hidden="false" customHeight="false" outlineLevel="0" collapsed="false">
      <c r="A109" s="38"/>
      <c r="G109" s="39" t="str">
        <f aca="false">IF(A109="","",COUNTIF(Шоты!$G$2:$G$500,"*"&amp;A109&amp;"*"))</f>
        <v/>
      </c>
      <c r="L109" s="33"/>
    </row>
    <row r="110" customFormat="false" ht="15" hidden="false" customHeight="false" outlineLevel="0" collapsed="false">
      <c r="A110" s="38"/>
      <c r="G110" s="39" t="str">
        <f aca="false">IF(A110="","",COUNTIF(Шоты!$G$2:$G$500,"*"&amp;A110&amp;"*"))</f>
        <v/>
      </c>
      <c r="L110" s="33"/>
    </row>
    <row r="111" customFormat="false" ht="15" hidden="false" customHeight="false" outlineLevel="0" collapsed="false">
      <c r="A111" s="38"/>
      <c r="G111" s="39" t="str">
        <f aca="false">IF(A111="","",COUNTIF(Шоты!$G$2:$G$500,"*"&amp;A111&amp;"*"))</f>
        <v/>
      </c>
      <c r="L111" s="33"/>
    </row>
    <row r="112" customFormat="false" ht="15" hidden="false" customHeight="false" outlineLevel="0" collapsed="false">
      <c r="A112" s="38"/>
      <c r="G112" s="39" t="str">
        <f aca="false">IF(A112="","",COUNTIF(Шоты!$G$2:$G$500,"*"&amp;A112&amp;"*"))</f>
        <v/>
      </c>
      <c r="L112" s="33"/>
    </row>
    <row r="113" customFormat="false" ht="15" hidden="false" customHeight="false" outlineLevel="0" collapsed="false">
      <c r="A113" s="38"/>
      <c r="G113" s="39" t="str">
        <f aca="false">IF(A113="","",COUNTIF(Шоты!$G$2:$G$500,"*"&amp;A113&amp;"*"))</f>
        <v/>
      </c>
      <c r="L113" s="33"/>
    </row>
    <row r="114" customFormat="false" ht="15" hidden="false" customHeight="false" outlineLevel="0" collapsed="false">
      <c r="A114" s="38"/>
      <c r="G114" s="39" t="str">
        <f aca="false">IF(A114="","",COUNTIF(Шоты!$G$2:$G$500,"*"&amp;A114&amp;"*"))</f>
        <v/>
      </c>
      <c r="L114" s="33"/>
    </row>
    <row r="115" customFormat="false" ht="15" hidden="false" customHeight="false" outlineLevel="0" collapsed="false">
      <c r="A115" s="38"/>
      <c r="G115" s="39" t="str">
        <f aca="false">IF(A115="","",COUNTIF(Шоты!$G$2:$G$500,"*"&amp;A115&amp;"*"))</f>
        <v/>
      </c>
      <c r="L115" s="33"/>
    </row>
    <row r="116" customFormat="false" ht="15" hidden="false" customHeight="false" outlineLevel="0" collapsed="false">
      <c r="A116" s="38"/>
      <c r="G116" s="39" t="str">
        <f aca="false">IF(A116="","",COUNTIF(Шоты!$G$2:$G$500,"*"&amp;A116&amp;"*"))</f>
        <v/>
      </c>
      <c r="L116" s="33"/>
    </row>
    <row r="117" customFormat="false" ht="15" hidden="false" customHeight="false" outlineLevel="0" collapsed="false">
      <c r="A117" s="38"/>
      <c r="G117" s="39" t="str">
        <f aca="false">IF(A117="","",COUNTIF(Шоты!$G$2:$G$500,"*"&amp;A117&amp;"*"))</f>
        <v/>
      </c>
      <c r="L117" s="33"/>
    </row>
    <row r="118" customFormat="false" ht="15" hidden="false" customHeight="false" outlineLevel="0" collapsed="false">
      <c r="A118" s="38"/>
      <c r="G118" s="39" t="str">
        <f aca="false">IF(A118="","",COUNTIF(Шоты!$G$2:$G$500,"*"&amp;A118&amp;"*"))</f>
        <v/>
      </c>
      <c r="L118" s="33"/>
    </row>
    <row r="119" customFormat="false" ht="15" hidden="false" customHeight="false" outlineLevel="0" collapsed="false">
      <c r="A119" s="38"/>
      <c r="G119" s="39" t="str">
        <f aca="false">IF(A119="","",COUNTIF(Шоты!$G$2:$G$500,"*"&amp;A119&amp;"*"))</f>
        <v/>
      </c>
      <c r="L119" s="33"/>
    </row>
    <row r="120" customFormat="false" ht="15" hidden="false" customHeight="false" outlineLevel="0" collapsed="false">
      <c r="A120" s="38"/>
      <c r="G120" s="39" t="str">
        <f aca="false">IF(A120="","",COUNTIF(Шоты!$G$2:$G$500,"*"&amp;A120&amp;"*"))</f>
        <v/>
      </c>
      <c r="L120" s="33"/>
    </row>
    <row r="121" customFormat="false" ht="15" hidden="false" customHeight="false" outlineLevel="0" collapsed="false">
      <c r="A121" s="38"/>
      <c r="G121" s="39" t="str">
        <f aca="false">IF(A121="","",COUNTIF(Шоты!$G$2:$G$500,"*"&amp;A121&amp;"*"))</f>
        <v/>
      </c>
      <c r="L121" s="33"/>
    </row>
    <row r="122" customFormat="false" ht="15" hidden="false" customHeight="false" outlineLevel="0" collapsed="false">
      <c r="A122" s="38"/>
      <c r="G122" s="39" t="str">
        <f aca="false">IF(A122="","",COUNTIF(Шоты!$G$2:$G$500,"*"&amp;A122&amp;"*"))</f>
        <v/>
      </c>
      <c r="L122" s="33"/>
    </row>
    <row r="123" customFormat="false" ht="15" hidden="false" customHeight="false" outlineLevel="0" collapsed="false">
      <c r="A123" s="38"/>
      <c r="G123" s="39" t="str">
        <f aca="false">IF(A123="","",COUNTIF(Шоты!$G$2:$G$500,"*"&amp;A123&amp;"*"))</f>
        <v/>
      </c>
      <c r="L123" s="33"/>
    </row>
    <row r="124" customFormat="false" ht="15" hidden="false" customHeight="false" outlineLevel="0" collapsed="false">
      <c r="A124" s="38"/>
      <c r="G124" s="39" t="str">
        <f aca="false">IF(A124="","",COUNTIF(Шоты!$G$2:$G$500,"*"&amp;A124&amp;"*"))</f>
        <v/>
      </c>
      <c r="L124" s="33"/>
    </row>
    <row r="125" customFormat="false" ht="15" hidden="false" customHeight="false" outlineLevel="0" collapsed="false">
      <c r="A125" s="38"/>
      <c r="G125" s="39" t="str">
        <f aca="false">IF(A125="","",COUNTIF(Шоты!$G$2:$G$500,"*"&amp;A125&amp;"*"))</f>
        <v/>
      </c>
      <c r="L125" s="33"/>
    </row>
    <row r="126" customFormat="false" ht="15" hidden="false" customHeight="false" outlineLevel="0" collapsed="false">
      <c r="A126" s="38"/>
      <c r="G126" s="39" t="str">
        <f aca="false">IF(A126="","",COUNTIF(Шоты!$G$2:$G$500,"*"&amp;A126&amp;"*"))</f>
        <v/>
      </c>
      <c r="L126" s="33"/>
    </row>
    <row r="127" customFormat="false" ht="15" hidden="false" customHeight="false" outlineLevel="0" collapsed="false">
      <c r="A127" s="38"/>
      <c r="G127" s="39" t="str">
        <f aca="false">IF(A127="","",COUNTIF(Шоты!$G$2:$G$500,"*"&amp;A127&amp;"*"))</f>
        <v/>
      </c>
      <c r="L127" s="33"/>
    </row>
    <row r="128" customFormat="false" ht="15" hidden="false" customHeight="false" outlineLevel="0" collapsed="false">
      <c r="A128" s="38"/>
      <c r="G128" s="39" t="str">
        <f aca="false">IF(A128="","",COUNTIF(Шоты!$G$2:$G$500,"*"&amp;A128&amp;"*"))</f>
        <v/>
      </c>
      <c r="L128" s="33"/>
    </row>
    <row r="129" customFormat="false" ht="15" hidden="false" customHeight="false" outlineLevel="0" collapsed="false">
      <c r="A129" s="38"/>
      <c r="G129" s="39" t="str">
        <f aca="false">IF(A129="","",COUNTIF(Шоты!$G$2:$G$500,"*"&amp;A129&amp;"*"))</f>
        <v/>
      </c>
      <c r="L129" s="33"/>
    </row>
    <row r="130" customFormat="false" ht="15" hidden="false" customHeight="false" outlineLevel="0" collapsed="false">
      <c r="A130" s="38"/>
      <c r="G130" s="39" t="str">
        <f aca="false">IF(A130="","",COUNTIF(Шоты!$G$2:$G$500,"*"&amp;A130&amp;"*"))</f>
        <v/>
      </c>
      <c r="L130" s="33"/>
    </row>
    <row r="131" customFormat="false" ht="15" hidden="false" customHeight="false" outlineLevel="0" collapsed="false">
      <c r="A131" s="38"/>
      <c r="G131" s="39" t="str">
        <f aca="false">IF(A131="","",COUNTIF(Шоты!$G$2:$G$500,"*"&amp;A131&amp;"*"))</f>
        <v/>
      </c>
      <c r="L131" s="33"/>
    </row>
    <row r="132" customFormat="false" ht="15" hidden="false" customHeight="false" outlineLevel="0" collapsed="false">
      <c r="A132" s="38"/>
      <c r="G132" s="39" t="str">
        <f aca="false">IF(A132="","",COUNTIF(Шоты!$G$2:$G$500,"*"&amp;A132&amp;"*"))</f>
        <v/>
      </c>
      <c r="L132" s="33"/>
    </row>
    <row r="133" customFormat="false" ht="15" hidden="false" customHeight="false" outlineLevel="0" collapsed="false">
      <c r="A133" s="38"/>
      <c r="G133" s="39" t="str">
        <f aca="false">IF(A133="","",COUNTIF(Шоты!$G$2:$G$500,"*"&amp;A133&amp;"*"))</f>
        <v/>
      </c>
      <c r="L133" s="33"/>
    </row>
    <row r="134" customFormat="false" ht="15" hidden="false" customHeight="false" outlineLevel="0" collapsed="false">
      <c r="A134" s="38"/>
      <c r="G134" s="39" t="str">
        <f aca="false">IF(A134="","",COUNTIF(Шоты!$G$2:$G$500,"*"&amp;A134&amp;"*"))</f>
        <v/>
      </c>
      <c r="L134" s="33"/>
    </row>
    <row r="135" customFormat="false" ht="15" hidden="false" customHeight="false" outlineLevel="0" collapsed="false">
      <c r="A135" s="38"/>
      <c r="G135" s="39" t="str">
        <f aca="false">IF(A135="","",COUNTIF(Шоты!$G$2:$G$500,"*"&amp;A135&amp;"*"))</f>
        <v/>
      </c>
      <c r="L135" s="33"/>
    </row>
    <row r="136" customFormat="false" ht="15" hidden="false" customHeight="false" outlineLevel="0" collapsed="false">
      <c r="A136" s="38"/>
      <c r="G136" s="39" t="str">
        <f aca="false">IF(A136="","",COUNTIF(Шоты!$G$2:$G$500,"*"&amp;A136&amp;"*"))</f>
        <v/>
      </c>
      <c r="L136" s="33"/>
    </row>
    <row r="137" customFormat="false" ht="15" hidden="false" customHeight="false" outlineLevel="0" collapsed="false">
      <c r="A137" s="38"/>
      <c r="G137" s="39" t="str">
        <f aca="false">IF(A137="","",COUNTIF(Шоты!$G$2:$G$500,"*"&amp;A137&amp;"*"))</f>
        <v/>
      </c>
      <c r="L137" s="33"/>
    </row>
    <row r="138" customFormat="false" ht="15" hidden="false" customHeight="false" outlineLevel="0" collapsed="false">
      <c r="A138" s="38"/>
      <c r="G138" s="39" t="str">
        <f aca="false">IF(A138="","",COUNTIF(Шоты!$G$2:$G$500,"*"&amp;A138&amp;"*"))</f>
        <v/>
      </c>
      <c r="L138" s="33"/>
    </row>
    <row r="139" customFormat="false" ht="15" hidden="false" customHeight="false" outlineLevel="0" collapsed="false">
      <c r="A139" s="38"/>
      <c r="G139" s="39" t="str">
        <f aca="false">IF(A139="","",COUNTIF(Шоты!$G$2:$G$500,"*"&amp;A139&amp;"*"))</f>
        <v/>
      </c>
      <c r="L139" s="33"/>
    </row>
    <row r="140" customFormat="false" ht="15" hidden="false" customHeight="false" outlineLevel="0" collapsed="false">
      <c r="A140" s="38"/>
      <c r="G140" s="39" t="str">
        <f aca="false">IF(A140="","",COUNTIF(Шоты!$G$2:$G$500,"*"&amp;A140&amp;"*"))</f>
        <v/>
      </c>
      <c r="L140" s="33"/>
    </row>
    <row r="141" customFormat="false" ht="15" hidden="false" customHeight="false" outlineLevel="0" collapsed="false">
      <c r="A141" s="38"/>
      <c r="G141" s="39" t="str">
        <f aca="false">IF(A141="","",COUNTIF(Шоты!$G$2:$G$500,"*"&amp;A141&amp;"*"))</f>
        <v/>
      </c>
      <c r="L141" s="33"/>
    </row>
    <row r="142" customFormat="false" ht="15" hidden="false" customHeight="false" outlineLevel="0" collapsed="false">
      <c r="A142" s="38"/>
      <c r="G142" s="39" t="str">
        <f aca="false">IF(A142="","",COUNTIF(Шоты!$G$2:$G$500,"*"&amp;A142&amp;"*"))</f>
        <v/>
      </c>
      <c r="L142" s="33"/>
    </row>
    <row r="143" customFormat="false" ht="15" hidden="false" customHeight="false" outlineLevel="0" collapsed="false">
      <c r="A143" s="38"/>
      <c r="G143" s="39" t="str">
        <f aca="false">IF(A143="","",COUNTIF(Шоты!$G$2:$G$500,"*"&amp;A143&amp;"*"))</f>
        <v/>
      </c>
      <c r="L143" s="33"/>
    </row>
    <row r="144" customFormat="false" ht="15" hidden="false" customHeight="false" outlineLevel="0" collapsed="false">
      <c r="A144" s="38"/>
      <c r="G144" s="39" t="str">
        <f aca="false">IF(A144="","",COUNTIF(Шоты!$G$2:$G$500,"*"&amp;A144&amp;"*"))</f>
        <v/>
      </c>
      <c r="L144" s="33"/>
    </row>
    <row r="145" customFormat="false" ht="15" hidden="false" customHeight="false" outlineLevel="0" collapsed="false">
      <c r="A145" s="38"/>
      <c r="G145" s="39" t="str">
        <f aca="false">IF(A145="","",COUNTIF(Шоты!$G$2:$G$500,"*"&amp;A145&amp;"*"))</f>
        <v/>
      </c>
      <c r="L145" s="33"/>
    </row>
    <row r="146" customFormat="false" ht="15" hidden="false" customHeight="false" outlineLevel="0" collapsed="false">
      <c r="A146" s="38"/>
      <c r="G146" s="39" t="str">
        <f aca="false">IF(A146="","",COUNTIF(Шоты!$G$2:$G$500,"*"&amp;A146&amp;"*"))</f>
        <v/>
      </c>
      <c r="L146" s="33"/>
    </row>
    <row r="147" customFormat="false" ht="15" hidden="false" customHeight="false" outlineLevel="0" collapsed="false">
      <c r="A147" s="38"/>
      <c r="G147" s="39" t="str">
        <f aca="false">IF(A147="","",COUNTIF(Шоты!$G$2:$G$500,"*"&amp;A147&amp;"*"))</f>
        <v/>
      </c>
      <c r="L147" s="33"/>
    </row>
    <row r="148" customFormat="false" ht="15" hidden="false" customHeight="false" outlineLevel="0" collapsed="false">
      <c r="A148" s="38"/>
      <c r="G148" s="39" t="str">
        <f aca="false">IF(A148="","",COUNTIF(Шоты!$G$2:$G$500,"*"&amp;A148&amp;"*"))</f>
        <v/>
      </c>
      <c r="L148" s="33"/>
    </row>
    <row r="149" customFormat="false" ht="15" hidden="false" customHeight="false" outlineLevel="0" collapsed="false">
      <c r="A149" s="38"/>
      <c r="G149" s="39" t="str">
        <f aca="false">IF(A149="","",COUNTIF(Шоты!$G$2:$G$500,"*"&amp;A149&amp;"*"))</f>
        <v/>
      </c>
      <c r="L149" s="33"/>
    </row>
    <row r="150" customFormat="false" ht="15" hidden="false" customHeight="false" outlineLevel="0" collapsed="false">
      <c r="A150" s="38"/>
      <c r="G150" s="39" t="str">
        <f aca="false">IF(A150="","",COUNTIF(Шоты!$G$2:$G$500,"*"&amp;A150&amp;"*"))</f>
        <v/>
      </c>
      <c r="L150" s="33"/>
    </row>
    <row r="151" customFormat="false" ht="15" hidden="false" customHeight="false" outlineLevel="0" collapsed="false">
      <c r="L151" s="33"/>
    </row>
    <row r="152" customFormat="false" ht="15" hidden="false" customHeight="false" outlineLevel="0" collapsed="false">
      <c r="L152" s="33"/>
    </row>
    <row r="153" customFormat="false" ht="15" hidden="false" customHeight="false" outlineLevel="0" collapsed="false">
      <c r="L153" s="33"/>
    </row>
    <row r="154" customFormat="false" ht="15" hidden="false" customHeight="false" outlineLevel="0" collapsed="false">
      <c r="L154" s="33"/>
    </row>
    <row r="155" customFormat="false" ht="15" hidden="false" customHeight="false" outlineLevel="0" collapsed="false">
      <c r="L155" s="33"/>
    </row>
    <row r="156" customFormat="false" ht="15" hidden="false" customHeight="false" outlineLevel="0" collapsed="false">
      <c r="L156" s="33"/>
    </row>
    <row r="157" customFormat="false" ht="15" hidden="false" customHeight="false" outlineLevel="0" collapsed="false">
      <c r="L157" s="33"/>
    </row>
    <row r="158" customFormat="false" ht="15" hidden="false" customHeight="false" outlineLevel="0" collapsed="false">
      <c r="L158" s="33"/>
    </row>
    <row r="159" customFormat="false" ht="15" hidden="false" customHeight="false" outlineLevel="0" collapsed="false">
      <c r="L159" s="33"/>
    </row>
    <row r="160" customFormat="false" ht="15" hidden="false" customHeight="false" outlineLevel="0" collapsed="false">
      <c r="L160" s="33"/>
    </row>
    <row r="161" customFormat="false" ht="15" hidden="false" customHeight="false" outlineLevel="0" collapsed="false">
      <c r="L161" s="33"/>
    </row>
    <row r="162" customFormat="false" ht="15" hidden="false" customHeight="false" outlineLevel="0" collapsed="false">
      <c r="L162" s="33"/>
    </row>
    <row r="163" customFormat="false" ht="15" hidden="false" customHeight="false" outlineLevel="0" collapsed="false">
      <c r="L163" s="33"/>
    </row>
    <row r="164" customFormat="false" ht="15" hidden="false" customHeight="false" outlineLevel="0" collapsed="false">
      <c r="L164" s="33"/>
    </row>
    <row r="165" customFormat="false" ht="15" hidden="false" customHeight="false" outlineLevel="0" collapsed="false">
      <c r="L165" s="33"/>
    </row>
    <row r="166" customFormat="false" ht="15" hidden="false" customHeight="false" outlineLevel="0" collapsed="false">
      <c r="L166" s="33"/>
    </row>
    <row r="167" customFormat="false" ht="15" hidden="false" customHeight="false" outlineLevel="0" collapsed="false">
      <c r="L167" s="33"/>
    </row>
    <row r="168" customFormat="false" ht="15" hidden="false" customHeight="false" outlineLevel="0" collapsed="false">
      <c r="L168" s="33"/>
    </row>
    <row r="169" customFormat="false" ht="15" hidden="false" customHeight="false" outlineLevel="0" collapsed="false">
      <c r="L169" s="33"/>
    </row>
    <row r="170" customFormat="false" ht="15" hidden="false" customHeight="false" outlineLevel="0" collapsed="false">
      <c r="L170" s="33"/>
    </row>
    <row r="171" customFormat="false" ht="15" hidden="false" customHeight="false" outlineLevel="0" collapsed="false">
      <c r="L171" s="33"/>
    </row>
    <row r="172" customFormat="false" ht="15" hidden="false" customHeight="false" outlineLevel="0" collapsed="false">
      <c r="L172" s="33"/>
    </row>
    <row r="173" customFormat="false" ht="15" hidden="false" customHeight="false" outlineLevel="0" collapsed="false">
      <c r="L173" s="33"/>
    </row>
    <row r="174" customFormat="false" ht="15" hidden="false" customHeight="false" outlineLevel="0" collapsed="false">
      <c r="L174" s="33"/>
    </row>
    <row r="175" customFormat="false" ht="15" hidden="false" customHeight="false" outlineLevel="0" collapsed="false">
      <c r="L175" s="33"/>
    </row>
    <row r="176" customFormat="false" ht="15" hidden="false" customHeight="false" outlineLevel="0" collapsed="false">
      <c r="L176" s="33"/>
    </row>
    <row r="177" customFormat="false" ht="15" hidden="false" customHeight="false" outlineLevel="0" collapsed="false">
      <c r="L177" s="33"/>
    </row>
    <row r="178" customFormat="false" ht="15" hidden="false" customHeight="false" outlineLevel="0" collapsed="false">
      <c r="L178" s="33"/>
    </row>
    <row r="179" customFormat="false" ht="15" hidden="false" customHeight="false" outlineLevel="0" collapsed="false">
      <c r="L179" s="33"/>
    </row>
    <row r="180" customFormat="false" ht="15" hidden="false" customHeight="false" outlineLevel="0" collapsed="false">
      <c r="L180" s="33"/>
    </row>
    <row r="181" customFormat="false" ht="15" hidden="false" customHeight="false" outlineLevel="0" collapsed="false">
      <c r="L181" s="33"/>
    </row>
    <row r="182" customFormat="false" ht="15" hidden="false" customHeight="false" outlineLevel="0" collapsed="false">
      <c r="L182" s="33"/>
    </row>
    <row r="183" customFormat="false" ht="15" hidden="false" customHeight="false" outlineLevel="0" collapsed="false">
      <c r="L183" s="33"/>
    </row>
    <row r="184" customFormat="false" ht="15" hidden="false" customHeight="false" outlineLevel="0" collapsed="false">
      <c r="L184" s="33"/>
    </row>
    <row r="185" customFormat="false" ht="15" hidden="false" customHeight="false" outlineLevel="0" collapsed="false">
      <c r="L185" s="33"/>
    </row>
    <row r="186" customFormat="false" ht="15" hidden="false" customHeight="false" outlineLevel="0" collapsed="false">
      <c r="L186" s="33"/>
    </row>
    <row r="187" customFormat="false" ht="15" hidden="false" customHeight="false" outlineLevel="0" collapsed="false">
      <c r="L187" s="33"/>
    </row>
    <row r="188" customFormat="false" ht="15" hidden="false" customHeight="false" outlineLevel="0" collapsed="false">
      <c r="L188" s="33"/>
    </row>
    <row r="189" customFormat="false" ht="15" hidden="false" customHeight="false" outlineLevel="0" collapsed="false">
      <c r="L189" s="33"/>
    </row>
    <row r="190" customFormat="false" ht="15" hidden="false" customHeight="false" outlineLevel="0" collapsed="false">
      <c r="L190" s="33"/>
    </row>
    <row r="191" customFormat="false" ht="15" hidden="false" customHeight="false" outlineLevel="0" collapsed="false">
      <c r="L191" s="33"/>
    </row>
    <row r="192" customFormat="false" ht="15" hidden="false" customHeight="false" outlineLevel="0" collapsed="false">
      <c r="L192" s="33"/>
    </row>
    <row r="193" customFormat="false" ht="15" hidden="false" customHeight="false" outlineLevel="0" collapsed="false">
      <c r="L193" s="33"/>
    </row>
    <row r="194" customFormat="false" ht="15" hidden="false" customHeight="false" outlineLevel="0" collapsed="false">
      <c r="L194" s="33"/>
    </row>
    <row r="195" customFormat="false" ht="15" hidden="false" customHeight="false" outlineLevel="0" collapsed="false">
      <c r="L195" s="33"/>
    </row>
    <row r="196" customFormat="false" ht="15" hidden="false" customHeight="false" outlineLevel="0" collapsed="false">
      <c r="L196" s="33"/>
    </row>
    <row r="197" customFormat="false" ht="15" hidden="false" customHeight="false" outlineLevel="0" collapsed="false">
      <c r="L197" s="33"/>
    </row>
    <row r="198" customFormat="false" ht="15" hidden="false" customHeight="false" outlineLevel="0" collapsed="false">
      <c r="L198" s="33"/>
    </row>
    <row r="199" customFormat="false" ht="15" hidden="false" customHeight="false" outlineLevel="0" collapsed="false">
      <c r="L199" s="33"/>
    </row>
    <row r="200" customFormat="false" ht="15" hidden="false" customHeight="false" outlineLevel="0" collapsed="false">
      <c r="L200" s="33"/>
    </row>
    <row r="201" customFormat="false" ht="15" hidden="false" customHeight="false" outlineLevel="0" collapsed="false">
      <c r="L201" s="33"/>
    </row>
    <row r="202" customFormat="false" ht="15" hidden="false" customHeight="false" outlineLevel="0" collapsed="false">
      <c r="L202" s="33"/>
    </row>
    <row r="203" customFormat="false" ht="15" hidden="false" customHeight="false" outlineLevel="0" collapsed="false">
      <c r="L203" s="33"/>
    </row>
    <row r="204" customFormat="false" ht="15" hidden="false" customHeight="false" outlineLevel="0" collapsed="false">
      <c r="L204" s="33"/>
    </row>
    <row r="205" customFormat="false" ht="15" hidden="false" customHeight="false" outlineLevel="0" collapsed="false">
      <c r="L205" s="33"/>
    </row>
    <row r="206" customFormat="false" ht="15" hidden="false" customHeight="false" outlineLevel="0" collapsed="false">
      <c r="L206" s="33"/>
    </row>
    <row r="207" customFormat="false" ht="15" hidden="false" customHeight="false" outlineLevel="0" collapsed="false">
      <c r="L207" s="33"/>
    </row>
    <row r="208" customFormat="false" ht="15" hidden="false" customHeight="false" outlineLevel="0" collapsed="false">
      <c r="L208" s="33"/>
    </row>
    <row r="209" customFormat="false" ht="15" hidden="false" customHeight="false" outlineLevel="0" collapsed="false">
      <c r="L209" s="33"/>
    </row>
    <row r="210" customFormat="false" ht="15" hidden="false" customHeight="false" outlineLevel="0" collapsed="false">
      <c r="L210" s="33"/>
    </row>
    <row r="211" customFormat="false" ht="15" hidden="false" customHeight="false" outlineLevel="0" collapsed="false">
      <c r="L211" s="33"/>
    </row>
    <row r="212" customFormat="false" ht="15" hidden="false" customHeight="false" outlineLevel="0" collapsed="false">
      <c r="L212" s="33"/>
    </row>
    <row r="213" customFormat="false" ht="15" hidden="false" customHeight="false" outlineLevel="0" collapsed="false">
      <c r="L213" s="33"/>
    </row>
    <row r="214" customFormat="false" ht="15" hidden="false" customHeight="false" outlineLevel="0" collapsed="false">
      <c r="L214" s="33"/>
    </row>
    <row r="215" customFormat="false" ht="15" hidden="false" customHeight="false" outlineLevel="0" collapsed="false">
      <c r="L215" s="33"/>
    </row>
    <row r="216" customFormat="false" ht="15" hidden="false" customHeight="false" outlineLevel="0" collapsed="false">
      <c r="L216" s="33"/>
    </row>
    <row r="217" customFormat="false" ht="15" hidden="false" customHeight="false" outlineLevel="0" collapsed="false">
      <c r="L217" s="33"/>
    </row>
    <row r="218" customFormat="false" ht="15" hidden="false" customHeight="false" outlineLevel="0" collapsed="false">
      <c r="L218" s="33"/>
    </row>
    <row r="219" customFormat="false" ht="15" hidden="false" customHeight="false" outlineLevel="0" collapsed="false">
      <c r="L219" s="33"/>
    </row>
    <row r="220" customFormat="false" ht="15" hidden="false" customHeight="false" outlineLevel="0" collapsed="false">
      <c r="L220" s="33"/>
    </row>
    <row r="221" customFormat="false" ht="15" hidden="false" customHeight="false" outlineLevel="0" collapsed="false">
      <c r="L221" s="33"/>
    </row>
    <row r="222" customFormat="false" ht="15" hidden="false" customHeight="false" outlineLevel="0" collapsed="false">
      <c r="L222" s="33"/>
    </row>
    <row r="223" customFormat="false" ht="15" hidden="false" customHeight="false" outlineLevel="0" collapsed="false">
      <c r="L223" s="33"/>
    </row>
    <row r="224" customFormat="false" ht="15" hidden="false" customHeight="false" outlineLevel="0" collapsed="false">
      <c r="L224" s="33"/>
    </row>
    <row r="225" customFormat="false" ht="15" hidden="false" customHeight="false" outlineLevel="0" collapsed="false">
      <c r="L225" s="33"/>
    </row>
    <row r="226" customFormat="false" ht="15" hidden="false" customHeight="false" outlineLevel="0" collapsed="false">
      <c r="L226" s="33"/>
    </row>
    <row r="227" customFormat="false" ht="15" hidden="false" customHeight="false" outlineLevel="0" collapsed="false">
      <c r="L227" s="33"/>
    </row>
    <row r="228" customFormat="false" ht="15" hidden="false" customHeight="false" outlineLevel="0" collapsed="false">
      <c r="L228" s="33"/>
    </row>
    <row r="229" customFormat="false" ht="15" hidden="false" customHeight="false" outlineLevel="0" collapsed="false">
      <c r="L229" s="33"/>
    </row>
    <row r="230" customFormat="false" ht="15" hidden="false" customHeight="false" outlineLevel="0" collapsed="false">
      <c r="L230" s="33"/>
    </row>
    <row r="231" customFormat="false" ht="15" hidden="false" customHeight="false" outlineLevel="0" collapsed="false">
      <c r="L231" s="33"/>
    </row>
    <row r="232" customFormat="false" ht="15" hidden="false" customHeight="false" outlineLevel="0" collapsed="false">
      <c r="L232" s="33"/>
    </row>
    <row r="233" customFormat="false" ht="15" hidden="false" customHeight="false" outlineLevel="0" collapsed="false">
      <c r="L233" s="33"/>
    </row>
    <row r="234" customFormat="false" ht="15" hidden="false" customHeight="false" outlineLevel="0" collapsed="false">
      <c r="L234" s="33"/>
    </row>
    <row r="235" customFormat="false" ht="15" hidden="false" customHeight="false" outlineLevel="0" collapsed="false">
      <c r="L235" s="33"/>
    </row>
    <row r="236" customFormat="false" ht="15" hidden="false" customHeight="false" outlineLevel="0" collapsed="false">
      <c r="L236" s="33"/>
    </row>
    <row r="237" customFormat="false" ht="15" hidden="false" customHeight="false" outlineLevel="0" collapsed="false">
      <c r="L237" s="33"/>
    </row>
    <row r="238" customFormat="false" ht="15" hidden="false" customHeight="false" outlineLevel="0" collapsed="false">
      <c r="L238" s="33"/>
    </row>
    <row r="239" customFormat="false" ht="15" hidden="false" customHeight="false" outlineLevel="0" collapsed="false">
      <c r="L239" s="33"/>
    </row>
    <row r="240" customFormat="false" ht="15" hidden="false" customHeight="false" outlineLevel="0" collapsed="false">
      <c r="L240" s="33"/>
    </row>
    <row r="241" customFormat="false" ht="15" hidden="false" customHeight="false" outlineLevel="0" collapsed="false">
      <c r="L241" s="33"/>
    </row>
    <row r="242" customFormat="false" ht="15" hidden="false" customHeight="false" outlineLevel="0" collapsed="false">
      <c r="L242" s="33"/>
    </row>
    <row r="243" customFormat="false" ht="15" hidden="false" customHeight="false" outlineLevel="0" collapsed="false">
      <c r="L243" s="33"/>
    </row>
    <row r="244" customFormat="false" ht="15" hidden="false" customHeight="false" outlineLevel="0" collapsed="false">
      <c r="L244" s="33"/>
    </row>
    <row r="245" customFormat="false" ht="15" hidden="false" customHeight="false" outlineLevel="0" collapsed="false">
      <c r="L245" s="33"/>
    </row>
    <row r="246" customFormat="false" ht="15" hidden="false" customHeight="false" outlineLevel="0" collapsed="false">
      <c r="L246" s="33"/>
    </row>
    <row r="247" customFormat="false" ht="15" hidden="false" customHeight="false" outlineLevel="0" collapsed="false">
      <c r="L247" s="33"/>
    </row>
    <row r="248" customFormat="false" ht="15" hidden="false" customHeight="false" outlineLevel="0" collapsed="false">
      <c r="L248" s="33"/>
    </row>
    <row r="249" customFormat="false" ht="15" hidden="false" customHeight="false" outlineLevel="0" collapsed="false">
      <c r="L249" s="33"/>
    </row>
    <row r="250" customFormat="false" ht="15" hidden="false" customHeight="false" outlineLevel="0" collapsed="false">
      <c r="L250" s="33"/>
    </row>
    <row r="251" customFormat="false" ht="15" hidden="false" customHeight="false" outlineLevel="0" collapsed="false">
      <c r="L251" s="33"/>
    </row>
    <row r="252" customFormat="false" ht="15" hidden="false" customHeight="false" outlineLevel="0" collapsed="false">
      <c r="L252" s="33"/>
    </row>
    <row r="253" customFormat="false" ht="15" hidden="false" customHeight="false" outlineLevel="0" collapsed="false">
      <c r="L253" s="33"/>
    </row>
    <row r="254" customFormat="false" ht="15" hidden="false" customHeight="false" outlineLevel="0" collapsed="false">
      <c r="L254" s="33"/>
    </row>
    <row r="255" customFormat="false" ht="15" hidden="false" customHeight="false" outlineLevel="0" collapsed="false">
      <c r="L255" s="33"/>
    </row>
    <row r="256" customFormat="false" ht="15" hidden="false" customHeight="false" outlineLevel="0" collapsed="false">
      <c r="L256" s="33"/>
    </row>
    <row r="257" customFormat="false" ht="15" hidden="false" customHeight="false" outlineLevel="0" collapsed="false">
      <c r="L257" s="33"/>
    </row>
    <row r="258" customFormat="false" ht="15" hidden="false" customHeight="false" outlineLevel="0" collapsed="false">
      <c r="L258" s="33"/>
    </row>
    <row r="259" customFormat="false" ht="15" hidden="false" customHeight="false" outlineLevel="0" collapsed="false">
      <c r="L259" s="33"/>
    </row>
    <row r="260" customFormat="false" ht="15" hidden="false" customHeight="false" outlineLevel="0" collapsed="false">
      <c r="L260" s="33"/>
    </row>
    <row r="261" customFormat="false" ht="15" hidden="false" customHeight="false" outlineLevel="0" collapsed="false">
      <c r="L261" s="33"/>
    </row>
    <row r="262" customFormat="false" ht="15" hidden="false" customHeight="false" outlineLevel="0" collapsed="false">
      <c r="L262" s="33"/>
    </row>
    <row r="263" customFormat="false" ht="15" hidden="false" customHeight="false" outlineLevel="0" collapsed="false">
      <c r="L263" s="33"/>
    </row>
    <row r="264" customFormat="false" ht="15" hidden="false" customHeight="false" outlineLevel="0" collapsed="false">
      <c r="L264" s="33"/>
    </row>
    <row r="265" customFormat="false" ht="15" hidden="false" customHeight="false" outlineLevel="0" collapsed="false">
      <c r="L265" s="33"/>
    </row>
    <row r="266" customFormat="false" ht="15" hidden="false" customHeight="false" outlineLevel="0" collapsed="false">
      <c r="L266" s="33"/>
    </row>
    <row r="267" customFormat="false" ht="15" hidden="false" customHeight="false" outlineLevel="0" collapsed="false">
      <c r="L267" s="33"/>
    </row>
    <row r="268" customFormat="false" ht="15" hidden="false" customHeight="false" outlineLevel="0" collapsed="false">
      <c r="L268" s="33"/>
    </row>
    <row r="269" customFormat="false" ht="15" hidden="false" customHeight="false" outlineLevel="0" collapsed="false">
      <c r="L269" s="33"/>
    </row>
    <row r="270" customFormat="false" ht="15" hidden="false" customHeight="false" outlineLevel="0" collapsed="false">
      <c r="L270" s="33"/>
    </row>
    <row r="271" customFormat="false" ht="15" hidden="false" customHeight="false" outlineLevel="0" collapsed="false">
      <c r="L271" s="33"/>
    </row>
    <row r="272" customFormat="false" ht="15" hidden="false" customHeight="false" outlineLevel="0" collapsed="false">
      <c r="L272" s="33"/>
    </row>
    <row r="273" customFormat="false" ht="15" hidden="false" customHeight="false" outlineLevel="0" collapsed="false">
      <c r="L273" s="33"/>
    </row>
    <row r="274" customFormat="false" ht="15" hidden="false" customHeight="false" outlineLevel="0" collapsed="false">
      <c r="L274" s="33"/>
    </row>
    <row r="275" customFormat="false" ht="15" hidden="false" customHeight="false" outlineLevel="0" collapsed="false">
      <c r="L275" s="33"/>
    </row>
    <row r="276" customFormat="false" ht="15" hidden="false" customHeight="false" outlineLevel="0" collapsed="false">
      <c r="L276" s="33"/>
    </row>
    <row r="277" customFormat="false" ht="15" hidden="false" customHeight="false" outlineLevel="0" collapsed="false">
      <c r="L277" s="33"/>
    </row>
    <row r="278" customFormat="false" ht="15" hidden="false" customHeight="false" outlineLevel="0" collapsed="false">
      <c r="L278" s="33"/>
    </row>
    <row r="279" customFormat="false" ht="15" hidden="false" customHeight="false" outlineLevel="0" collapsed="false">
      <c r="L279" s="33"/>
    </row>
    <row r="280" customFormat="false" ht="15" hidden="false" customHeight="false" outlineLevel="0" collapsed="false">
      <c r="L280" s="33"/>
    </row>
    <row r="281" customFormat="false" ht="15" hidden="false" customHeight="false" outlineLevel="0" collapsed="false">
      <c r="L281" s="33"/>
    </row>
    <row r="282" customFormat="false" ht="15" hidden="false" customHeight="false" outlineLevel="0" collapsed="false">
      <c r="L282" s="33"/>
    </row>
    <row r="283" customFormat="false" ht="15" hidden="false" customHeight="false" outlineLevel="0" collapsed="false">
      <c r="L283" s="33"/>
    </row>
    <row r="284" customFormat="false" ht="15" hidden="false" customHeight="false" outlineLevel="0" collapsed="false">
      <c r="L284" s="33"/>
    </row>
    <row r="285" customFormat="false" ht="15" hidden="false" customHeight="false" outlineLevel="0" collapsed="false">
      <c r="L285" s="33"/>
    </row>
    <row r="286" customFormat="false" ht="15" hidden="false" customHeight="false" outlineLevel="0" collapsed="false">
      <c r="L286" s="33"/>
    </row>
    <row r="287" customFormat="false" ht="15" hidden="false" customHeight="false" outlineLevel="0" collapsed="false">
      <c r="L287" s="33"/>
    </row>
    <row r="288" customFormat="false" ht="15" hidden="false" customHeight="false" outlineLevel="0" collapsed="false">
      <c r="L288" s="33"/>
    </row>
    <row r="289" customFormat="false" ht="15" hidden="false" customHeight="false" outlineLevel="0" collapsed="false">
      <c r="L289" s="33"/>
    </row>
    <row r="290" customFormat="false" ht="15" hidden="false" customHeight="false" outlineLevel="0" collapsed="false">
      <c r="L290" s="33"/>
    </row>
    <row r="291" customFormat="false" ht="15" hidden="false" customHeight="false" outlineLevel="0" collapsed="false">
      <c r="L291" s="33"/>
    </row>
    <row r="292" customFormat="false" ht="15" hidden="false" customHeight="false" outlineLevel="0" collapsed="false">
      <c r="L292" s="33"/>
    </row>
    <row r="293" customFormat="false" ht="15" hidden="false" customHeight="false" outlineLevel="0" collapsed="false">
      <c r="L293" s="33"/>
    </row>
    <row r="294" customFormat="false" ht="15" hidden="false" customHeight="false" outlineLevel="0" collapsed="false">
      <c r="L294" s="33"/>
    </row>
    <row r="295" customFormat="false" ht="15" hidden="false" customHeight="false" outlineLevel="0" collapsed="false">
      <c r="L295" s="33"/>
    </row>
    <row r="296" customFormat="false" ht="15" hidden="false" customHeight="false" outlineLevel="0" collapsed="false">
      <c r="L296" s="33"/>
    </row>
    <row r="297" customFormat="false" ht="15" hidden="false" customHeight="false" outlineLevel="0" collapsed="false">
      <c r="L297" s="33"/>
    </row>
    <row r="298" customFormat="false" ht="15" hidden="false" customHeight="false" outlineLevel="0" collapsed="false">
      <c r="L298" s="33"/>
    </row>
    <row r="299" customFormat="false" ht="15" hidden="false" customHeight="false" outlineLevel="0" collapsed="false">
      <c r="L299" s="33"/>
    </row>
    <row r="300" customFormat="false" ht="15" hidden="false" customHeight="false" outlineLevel="0" collapsed="false">
      <c r="L300" s="33"/>
    </row>
    <row r="301" customFormat="false" ht="15" hidden="false" customHeight="false" outlineLevel="0" collapsed="false">
      <c r="L301" s="33"/>
    </row>
    <row r="302" customFormat="false" ht="15" hidden="false" customHeight="false" outlineLevel="0" collapsed="false">
      <c r="L302" s="33"/>
    </row>
    <row r="303" customFormat="false" ht="15" hidden="false" customHeight="false" outlineLevel="0" collapsed="false">
      <c r="L303" s="33"/>
    </row>
    <row r="304" customFormat="false" ht="15" hidden="false" customHeight="false" outlineLevel="0" collapsed="false">
      <c r="L304" s="33"/>
    </row>
    <row r="305" customFormat="false" ht="15" hidden="false" customHeight="false" outlineLevel="0" collapsed="false">
      <c r="L305" s="33"/>
    </row>
    <row r="306" customFormat="false" ht="15" hidden="false" customHeight="false" outlineLevel="0" collapsed="false">
      <c r="L306" s="33"/>
    </row>
    <row r="307" customFormat="false" ht="15" hidden="false" customHeight="false" outlineLevel="0" collapsed="false">
      <c r="L307" s="33"/>
    </row>
    <row r="308" customFormat="false" ht="15" hidden="false" customHeight="false" outlineLevel="0" collapsed="false">
      <c r="L308" s="33"/>
    </row>
    <row r="309" customFormat="false" ht="15" hidden="false" customHeight="false" outlineLevel="0" collapsed="false">
      <c r="L309" s="33"/>
    </row>
    <row r="310" customFormat="false" ht="15" hidden="false" customHeight="false" outlineLevel="0" collapsed="false">
      <c r="L310" s="33"/>
    </row>
    <row r="311" customFormat="false" ht="15" hidden="false" customHeight="false" outlineLevel="0" collapsed="false">
      <c r="L311" s="33"/>
    </row>
    <row r="312" customFormat="false" ht="15" hidden="false" customHeight="false" outlineLevel="0" collapsed="false">
      <c r="L312" s="33"/>
    </row>
    <row r="313" customFormat="false" ht="15" hidden="false" customHeight="false" outlineLevel="0" collapsed="false">
      <c r="L313" s="33"/>
    </row>
    <row r="314" customFormat="false" ht="15" hidden="false" customHeight="false" outlineLevel="0" collapsed="false">
      <c r="L314" s="33"/>
    </row>
    <row r="315" customFormat="false" ht="15" hidden="false" customHeight="false" outlineLevel="0" collapsed="false">
      <c r="L315" s="33"/>
    </row>
    <row r="316" customFormat="false" ht="15" hidden="false" customHeight="false" outlineLevel="0" collapsed="false">
      <c r="L316" s="33"/>
    </row>
    <row r="317" customFormat="false" ht="15" hidden="false" customHeight="false" outlineLevel="0" collapsed="false">
      <c r="L317" s="33"/>
    </row>
    <row r="318" customFormat="false" ht="15" hidden="false" customHeight="false" outlineLevel="0" collapsed="false">
      <c r="L318" s="33"/>
    </row>
    <row r="319" customFormat="false" ht="15" hidden="false" customHeight="false" outlineLevel="0" collapsed="false">
      <c r="L319" s="33"/>
    </row>
    <row r="320" customFormat="false" ht="15" hidden="false" customHeight="false" outlineLevel="0" collapsed="false">
      <c r="L320" s="33"/>
    </row>
    <row r="321" customFormat="false" ht="15" hidden="false" customHeight="false" outlineLevel="0" collapsed="false">
      <c r="L321" s="33"/>
    </row>
    <row r="322" customFormat="false" ht="15" hidden="false" customHeight="false" outlineLevel="0" collapsed="false">
      <c r="L322" s="33"/>
    </row>
    <row r="323" customFormat="false" ht="15" hidden="false" customHeight="false" outlineLevel="0" collapsed="false">
      <c r="L323" s="33"/>
    </row>
    <row r="324" customFormat="false" ht="15" hidden="false" customHeight="false" outlineLevel="0" collapsed="false">
      <c r="L324" s="33"/>
    </row>
    <row r="325" customFormat="false" ht="15" hidden="false" customHeight="false" outlineLevel="0" collapsed="false">
      <c r="L325" s="33"/>
    </row>
    <row r="326" customFormat="false" ht="15" hidden="false" customHeight="false" outlineLevel="0" collapsed="false">
      <c r="L326" s="33"/>
    </row>
    <row r="327" customFormat="false" ht="15" hidden="false" customHeight="false" outlineLevel="0" collapsed="false">
      <c r="L327" s="33"/>
    </row>
    <row r="328" customFormat="false" ht="15" hidden="false" customHeight="false" outlineLevel="0" collapsed="false">
      <c r="L328" s="33"/>
    </row>
    <row r="329" customFormat="false" ht="15" hidden="false" customHeight="false" outlineLevel="0" collapsed="false">
      <c r="L329" s="33"/>
    </row>
    <row r="330" customFormat="false" ht="15" hidden="false" customHeight="false" outlineLevel="0" collapsed="false">
      <c r="L330" s="33"/>
    </row>
    <row r="331" customFormat="false" ht="15" hidden="false" customHeight="false" outlineLevel="0" collapsed="false">
      <c r="L331" s="33"/>
    </row>
    <row r="332" customFormat="false" ht="15" hidden="false" customHeight="false" outlineLevel="0" collapsed="false">
      <c r="L332" s="33"/>
    </row>
    <row r="333" customFormat="false" ht="15" hidden="false" customHeight="false" outlineLevel="0" collapsed="false">
      <c r="L333" s="33"/>
    </row>
    <row r="334" customFormat="false" ht="15" hidden="false" customHeight="false" outlineLevel="0" collapsed="false">
      <c r="L334" s="33"/>
    </row>
    <row r="335" customFormat="false" ht="15" hidden="false" customHeight="false" outlineLevel="0" collapsed="false">
      <c r="L335" s="33"/>
    </row>
    <row r="336" customFormat="false" ht="15" hidden="false" customHeight="false" outlineLevel="0" collapsed="false">
      <c r="L336" s="33"/>
    </row>
    <row r="337" customFormat="false" ht="15" hidden="false" customHeight="false" outlineLevel="0" collapsed="false">
      <c r="L337" s="33"/>
    </row>
    <row r="338" customFormat="false" ht="15" hidden="false" customHeight="false" outlineLevel="0" collapsed="false">
      <c r="L338" s="33"/>
    </row>
    <row r="339" customFormat="false" ht="15" hidden="false" customHeight="false" outlineLevel="0" collapsed="false">
      <c r="L339" s="33"/>
    </row>
    <row r="340" customFormat="false" ht="15" hidden="false" customHeight="false" outlineLevel="0" collapsed="false">
      <c r="L340" s="33"/>
    </row>
    <row r="341" customFormat="false" ht="15" hidden="false" customHeight="false" outlineLevel="0" collapsed="false">
      <c r="L341" s="33"/>
    </row>
    <row r="342" customFormat="false" ht="15" hidden="false" customHeight="false" outlineLevel="0" collapsed="false">
      <c r="L342" s="33"/>
    </row>
    <row r="343" customFormat="false" ht="15" hidden="false" customHeight="false" outlineLevel="0" collapsed="false">
      <c r="L343" s="33"/>
    </row>
    <row r="344" customFormat="false" ht="15" hidden="false" customHeight="false" outlineLevel="0" collapsed="false">
      <c r="L344" s="33"/>
    </row>
    <row r="345" customFormat="false" ht="15" hidden="false" customHeight="false" outlineLevel="0" collapsed="false">
      <c r="L345" s="33"/>
    </row>
    <row r="346" customFormat="false" ht="15" hidden="false" customHeight="false" outlineLevel="0" collapsed="false">
      <c r="L346" s="33"/>
    </row>
    <row r="347" customFormat="false" ht="15" hidden="false" customHeight="false" outlineLevel="0" collapsed="false">
      <c r="L347" s="33"/>
    </row>
    <row r="348" customFormat="false" ht="15" hidden="false" customHeight="false" outlineLevel="0" collapsed="false">
      <c r="L348" s="33"/>
    </row>
    <row r="349" customFormat="false" ht="15" hidden="false" customHeight="false" outlineLevel="0" collapsed="false">
      <c r="L349" s="33"/>
    </row>
    <row r="350" customFormat="false" ht="15" hidden="false" customHeight="false" outlineLevel="0" collapsed="false">
      <c r="L350" s="33"/>
    </row>
    <row r="351" customFormat="false" ht="15" hidden="false" customHeight="false" outlineLevel="0" collapsed="false">
      <c r="L351" s="33"/>
    </row>
    <row r="352" customFormat="false" ht="15" hidden="false" customHeight="false" outlineLevel="0" collapsed="false">
      <c r="L352" s="33"/>
    </row>
    <row r="353" customFormat="false" ht="15" hidden="false" customHeight="false" outlineLevel="0" collapsed="false">
      <c r="L353" s="33"/>
    </row>
    <row r="354" customFormat="false" ht="15" hidden="false" customHeight="false" outlineLevel="0" collapsed="false">
      <c r="L354" s="33"/>
    </row>
    <row r="355" customFormat="false" ht="15" hidden="false" customHeight="false" outlineLevel="0" collapsed="false">
      <c r="L355" s="33"/>
    </row>
    <row r="356" customFormat="false" ht="15" hidden="false" customHeight="false" outlineLevel="0" collapsed="false">
      <c r="L356" s="33"/>
    </row>
    <row r="357" customFormat="false" ht="15" hidden="false" customHeight="false" outlineLevel="0" collapsed="false">
      <c r="L357" s="33"/>
    </row>
    <row r="358" customFormat="false" ht="15" hidden="false" customHeight="false" outlineLevel="0" collapsed="false">
      <c r="L358" s="33"/>
    </row>
    <row r="359" customFormat="false" ht="15" hidden="false" customHeight="false" outlineLevel="0" collapsed="false">
      <c r="L359" s="33"/>
    </row>
    <row r="360" customFormat="false" ht="15" hidden="false" customHeight="false" outlineLevel="0" collapsed="false">
      <c r="L360" s="33"/>
    </row>
    <row r="361" customFormat="false" ht="15" hidden="false" customHeight="false" outlineLevel="0" collapsed="false">
      <c r="L361" s="33"/>
    </row>
    <row r="362" customFormat="false" ht="15" hidden="false" customHeight="false" outlineLevel="0" collapsed="false">
      <c r="L362" s="33"/>
    </row>
    <row r="363" customFormat="false" ht="15" hidden="false" customHeight="false" outlineLevel="0" collapsed="false">
      <c r="L363" s="33"/>
    </row>
    <row r="364" customFormat="false" ht="15" hidden="false" customHeight="false" outlineLevel="0" collapsed="false">
      <c r="L364" s="33"/>
    </row>
    <row r="365" customFormat="false" ht="15" hidden="false" customHeight="false" outlineLevel="0" collapsed="false">
      <c r="L365" s="33"/>
    </row>
    <row r="366" customFormat="false" ht="15" hidden="false" customHeight="false" outlineLevel="0" collapsed="false">
      <c r="L366" s="33"/>
    </row>
    <row r="367" customFormat="false" ht="15" hidden="false" customHeight="false" outlineLevel="0" collapsed="false">
      <c r="L367" s="33"/>
    </row>
    <row r="368" customFormat="false" ht="15" hidden="false" customHeight="false" outlineLevel="0" collapsed="false">
      <c r="L368" s="33"/>
    </row>
    <row r="369" customFormat="false" ht="15" hidden="false" customHeight="false" outlineLevel="0" collapsed="false">
      <c r="L369" s="33"/>
    </row>
    <row r="370" customFormat="false" ht="15" hidden="false" customHeight="false" outlineLevel="0" collapsed="false">
      <c r="L370" s="33"/>
    </row>
    <row r="371" customFormat="false" ht="15" hidden="false" customHeight="false" outlineLevel="0" collapsed="false">
      <c r="L371" s="33"/>
    </row>
    <row r="372" customFormat="false" ht="15" hidden="false" customHeight="false" outlineLevel="0" collapsed="false">
      <c r="L372" s="33"/>
    </row>
    <row r="373" customFormat="false" ht="15" hidden="false" customHeight="false" outlineLevel="0" collapsed="false">
      <c r="L373" s="33"/>
    </row>
    <row r="374" customFormat="false" ht="15" hidden="false" customHeight="false" outlineLevel="0" collapsed="false">
      <c r="L374" s="33"/>
    </row>
    <row r="375" customFormat="false" ht="15" hidden="false" customHeight="false" outlineLevel="0" collapsed="false">
      <c r="L375" s="33"/>
    </row>
    <row r="376" customFormat="false" ht="15" hidden="false" customHeight="false" outlineLevel="0" collapsed="false">
      <c r="L376" s="33"/>
    </row>
    <row r="377" customFormat="false" ht="15" hidden="false" customHeight="false" outlineLevel="0" collapsed="false">
      <c r="L377" s="33"/>
    </row>
    <row r="378" customFormat="false" ht="15" hidden="false" customHeight="false" outlineLevel="0" collapsed="false">
      <c r="L378" s="33"/>
    </row>
    <row r="379" customFormat="false" ht="15" hidden="false" customHeight="false" outlineLevel="0" collapsed="false">
      <c r="L379" s="33"/>
    </row>
    <row r="380" customFormat="false" ht="15" hidden="false" customHeight="false" outlineLevel="0" collapsed="false">
      <c r="L380" s="33"/>
    </row>
    <row r="381" customFormat="false" ht="15" hidden="false" customHeight="false" outlineLevel="0" collapsed="false">
      <c r="L381" s="33"/>
    </row>
    <row r="382" customFormat="false" ht="15" hidden="false" customHeight="false" outlineLevel="0" collapsed="false">
      <c r="L382" s="33"/>
    </row>
    <row r="383" customFormat="false" ht="15" hidden="false" customHeight="false" outlineLevel="0" collapsed="false">
      <c r="L383" s="33"/>
    </row>
    <row r="384" customFormat="false" ht="15" hidden="false" customHeight="false" outlineLevel="0" collapsed="false">
      <c r="L384" s="33"/>
    </row>
    <row r="385" customFormat="false" ht="15" hidden="false" customHeight="false" outlineLevel="0" collapsed="false">
      <c r="L385" s="33"/>
    </row>
    <row r="386" customFormat="false" ht="15" hidden="false" customHeight="false" outlineLevel="0" collapsed="false">
      <c r="L386" s="33"/>
    </row>
    <row r="387" customFormat="false" ht="15" hidden="false" customHeight="false" outlineLevel="0" collapsed="false">
      <c r="L387" s="33"/>
    </row>
    <row r="388" customFormat="false" ht="15" hidden="false" customHeight="false" outlineLevel="0" collapsed="false">
      <c r="L388" s="33"/>
    </row>
    <row r="389" customFormat="false" ht="15" hidden="false" customHeight="false" outlineLevel="0" collapsed="false">
      <c r="L389" s="33"/>
    </row>
    <row r="390" customFormat="false" ht="15" hidden="false" customHeight="false" outlineLevel="0" collapsed="false">
      <c r="L390" s="33"/>
    </row>
    <row r="391" customFormat="false" ht="15" hidden="false" customHeight="false" outlineLevel="0" collapsed="false">
      <c r="L391" s="33"/>
    </row>
    <row r="392" customFormat="false" ht="15" hidden="false" customHeight="false" outlineLevel="0" collapsed="false">
      <c r="L392" s="33"/>
    </row>
    <row r="393" customFormat="false" ht="15" hidden="false" customHeight="false" outlineLevel="0" collapsed="false">
      <c r="L393" s="33"/>
    </row>
    <row r="394" customFormat="false" ht="15" hidden="false" customHeight="false" outlineLevel="0" collapsed="false">
      <c r="L394" s="33"/>
    </row>
    <row r="395" customFormat="false" ht="15" hidden="false" customHeight="false" outlineLevel="0" collapsed="false">
      <c r="L395" s="33"/>
    </row>
    <row r="396" customFormat="false" ht="15" hidden="false" customHeight="false" outlineLevel="0" collapsed="false">
      <c r="L396" s="33"/>
    </row>
    <row r="397" customFormat="false" ht="15" hidden="false" customHeight="false" outlineLevel="0" collapsed="false">
      <c r="L397" s="33"/>
    </row>
    <row r="398" customFormat="false" ht="15" hidden="false" customHeight="false" outlineLevel="0" collapsed="false">
      <c r="L398" s="33"/>
    </row>
    <row r="399" customFormat="false" ht="15" hidden="false" customHeight="false" outlineLevel="0" collapsed="false">
      <c r="L399" s="33"/>
    </row>
    <row r="400" customFormat="false" ht="15" hidden="false" customHeight="false" outlineLevel="0" collapsed="false">
      <c r="L400" s="33"/>
    </row>
    <row r="401" customFormat="false" ht="15" hidden="false" customHeight="false" outlineLevel="0" collapsed="false">
      <c r="L401" s="33"/>
    </row>
    <row r="402" customFormat="false" ht="15" hidden="false" customHeight="false" outlineLevel="0" collapsed="false">
      <c r="L402" s="33"/>
    </row>
    <row r="403" customFormat="false" ht="15" hidden="false" customHeight="false" outlineLevel="0" collapsed="false">
      <c r="L403" s="33"/>
    </row>
    <row r="404" customFormat="false" ht="15" hidden="false" customHeight="false" outlineLevel="0" collapsed="false">
      <c r="L404" s="33"/>
    </row>
    <row r="405" customFormat="false" ht="15" hidden="false" customHeight="false" outlineLevel="0" collapsed="false">
      <c r="L405" s="33"/>
    </row>
    <row r="406" customFormat="false" ht="15" hidden="false" customHeight="false" outlineLevel="0" collapsed="false">
      <c r="L406" s="33"/>
    </row>
    <row r="407" customFormat="false" ht="15" hidden="false" customHeight="false" outlineLevel="0" collapsed="false">
      <c r="L407" s="33"/>
    </row>
    <row r="408" customFormat="false" ht="15" hidden="false" customHeight="false" outlineLevel="0" collapsed="false">
      <c r="L408" s="33"/>
    </row>
    <row r="409" customFormat="false" ht="15" hidden="false" customHeight="false" outlineLevel="0" collapsed="false">
      <c r="L409" s="33"/>
    </row>
    <row r="410" customFormat="false" ht="15" hidden="false" customHeight="false" outlineLevel="0" collapsed="false">
      <c r="L410" s="33"/>
    </row>
    <row r="411" customFormat="false" ht="15" hidden="false" customHeight="false" outlineLevel="0" collapsed="false">
      <c r="L411" s="33"/>
    </row>
    <row r="412" customFormat="false" ht="15" hidden="false" customHeight="false" outlineLevel="0" collapsed="false">
      <c r="L412" s="33"/>
    </row>
    <row r="413" customFormat="false" ht="15" hidden="false" customHeight="false" outlineLevel="0" collapsed="false">
      <c r="L413" s="33"/>
    </row>
    <row r="414" customFormat="false" ht="15" hidden="false" customHeight="false" outlineLevel="0" collapsed="false">
      <c r="L414" s="33"/>
    </row>
    <row r="415" customFormat="false" ht="15" hidden="false" customHeight="false" outlineLevel="0" collapsed="false">
      <c r="L415" s="33"/>
    </row>
    <row r="416" customFormat="false" ht="15" hidden="false" customHeight="false" outlineLevel="0" collapsed="false">
      <c r="L416" s="33"/>
    </row>
    <row r="417" customFormat="false" ht="15" hidden="false" customHeight="false" outlineLevel="0" collapsed="false">
      <c r="L417" s="33"/>
    </row>
    <row r="418" customFormat="false" ht="15" hidden="false" customHeight="false" outlineLevel="0" collapsed="false">
      <c r="L418" s="33"/>
    </row>
    <row r="419" customFormat="false" ht="15" hidden="false" customHeight="false" outlineLevel="0" collapsed="false">
      <c r="L419" s="33"/>
    </row>
    <row r="420" customFormat="false" ht="15" hidden="false" customHeight="false" outlineLevel="0" collapsed="false">
      <c r="L420" s="33"/>
    </row>
    <row r="421" customFormat="false" ht="15" hidden="false" customHeight="false" outlineLevel="0" collapsed="false">
      <c r="L421" s="33"/>
    </row>
    <row r="422" customFormat="false" ht="15" hidden="false" customHeight="false" outlineLevel="0" collapsed="false">
      <c r="L422" s="33"/>
    </row>
    <row r="423" customFormat="false" ht="15" hidden="false" customHeight="false" outlineLevel="0" collapsed="false">
      <c r="L423" s="33"/>
    </row>
    <row r="424" customFormat="false" ht="15" hidden="false" customHeight="false" outlineLevel="0" collapsed="false">
      <c r="L424" s="33"/>
    </row>
    <row r="425" customFormat="false" ht="15" hidden="false" customHeight="false" outlineLevel="0" collapsed="false">
      <c r="L425" s="33"/>
    </row>
    <row r="426" customFormat="false" ht="15" hidden="false" customHeight="false" outlineLevel="0" collapsed="false">
      <c r="L426" s="33"/>
    </row>
    <row r="427" customFormat="false" ht="15" hidden="false" customHeight="false" outlineLevel="0" collapsed="false">
      <c r="L427" s="33"/>
    </row>
    <row r="428" customFormat="false" ht="15" hidden="false" customHeight="false" outlineLevel="0" collapsed="false">
      <c r="L428" s="33"/>
    </row>
    <row r="429" customFormat="false" ht="15" hidden="false" customHeight="false" outlineLevel="0" collapsed="false">
      <c r="L429" s="33"/>
    </row>
    <row r="430" customFormat="false" ht="15" hidden="false" customHeight="false" outlineLevel="0" collapsed="false">
      <c r="L430" s="33"/>
    </row>
    <row r="431" customFormat="false" ht="15" hidden="false" customHeight="false" outlineLevel="0" collapsed="false">
      <c r="L431" s="33"/>
    </row>
    <row r="432" customFormat="false" ht="15" hidden="false" customHeight="false" outlineLevel="0" collapsed="false">
      <c r="L432" s="33"/>
    </row>
    <row r="433" customFormat="false" ht="15" hidden="false" customHeight="false" outlineLevel="0" collapsed="false">
      <c r="L433" s="33"/>
    </row>
    <row r="434" customFormat="false" ht="15" hidden="false" customHeight="false" outlineLevel="0" collapsed="false">
      <c r="L434" s="33"/>
    </row>
    <row r="435" customFormat="false" ht="15" hidden="false" customHeight="false" outlineLevel="0" collapsed="false">
      <c r="L435" s="33"/>
    </row>
    <row r="436" customFormat="false" ht="15" hidden="false" customHeight="false" outlineLevel="0" collapsed="false">
      <c r="L436" s="33"/>
    </row>
    <row r="437" customFormat="false" ht="15" hidden="false" customHeight="false" outlineLevel="0" collapsed="false">
      <c r="L437" s="33"/>
    </row>
    <row r="438" customFormat="false" ht="15" hidden="false" customHeight="false" outlineLevel="0" collapsed="false">
      <c r="L438" s="33"/>
    </row>
    <row r="439" customFormat="false" ht="15" hidden="false" customHeight="false" outlineLevel="0" collapsed="false">
      <c r="L439" s="33"/>
    </row>
    <row r="440" customFormat="false" ht="15" hidden="false" customHeight="false" outlineLevel="0" collapsed="false">
      <c r="L440" s="33"/>
    </row>
    <row r="441" customFormat="false" ht="15" hidden="false" customHeight="false" outlineLevel="0" collapsed="false">
      <c r="L441" s="33"/>
    </row>
    <row r="442" customFormat="false" ht="15" hidden="false" customHeight="false" outlineLevel="0" collapsed="false">
      <c r="L442" s="33"/>
    </row>
    <row r="443" customFormat="false" ht="15" hidden="false" customHeight="false" outlineLevel="0" collapsed="false">
      <c r="L443" s="33"/>
    </row>
    <row r="444" customFormat="false" ht="15" hidden="false" customHeight="false" outlineLevel="0" collapsed="false">
      <c r="L444" s="33"/>
    </row>
    <row r="445" customFormat="false" ht="15" hidden="false" customHeight="false" outlineLevel="0" collapsed="false">
      <c r="L445" s="33"/>
    </row>
    <row r="446" customFormat="false" ht="15" hidden="false" customHeight="false" outlineLevel="0" collapsed="false">
      <c r="L446" s="33"/>
    </row>
    <row r="447" customFormat="false" ht="15" hidden="false" customHeight="false" outlineLevel="0" collapsed="false">
      <c r="L447" s="33"/>
    </row>
    <row r="448" customFormat="false" ht="15" hidden="false" customHeight="false" outlineLevel="0" collapsed="false">
      <c r="L448" s="33"/>
    </row>
    <row r="449" customFormat="false" ht="15" hidden="false" customHeight="false" outlineLevel="0" collapsed="false">
      <c r="L449" s="33"/>
    </row>
    <row r="450" customFormat="false" ht="15" hidden="false" customHeight="false" outlineLevel="0" collapsed="false">
      <c r="L450" s="33"/>
    </row>
    <row r="451" customFormat="false" ht="15" hidden="false" customHeight="false" outlineLevel="0" collapsed="false">
      <c r="L451" s="33"/>
    </row>
    <row r="452" customFormat="false" ht="15" hidden="false" customHeight="false" outlineLevel="0" collapsed="false">
      <c r="L452" s="33"/>
    </row>
    <row r="453" customFormat="false" ht="15" hidden="false" customHeight="false" outlineLevel="0" collapsed="false">
      <c r="L453" s="33"/>
    </row>
    <row r="454" customFormat="false" ht="15" hidden="false" customHeight="false" outlineLevel="0" collapsed="false">
      <c r="L454" s="33"/>
    </row>
    <row r="455" customFormat="false" ht="15" hidden="false" customHeight="false" outlineLevel="0" collapsed="false">
      <c r="L455" s="33"/>
    </row>
    <row r="456" customFormat="false" ht="15" hidden="false" customHeight="false" outlineLevel="0" collapsed="false">
      <c r="L456" s="33"/>
    </row>
    <row r="457" customFormat="false" ht="15" hidden="false" customHeight="false" outlineLevel="0" collapsed="false">
      <c r="L457" s="33"/>
    </row>
    <row r="458" customFormat="false" ht="15" hidden="false" customHeight="false" outlineLevel="0" collapsed="false">
      <c r="L458" s="33"/>
    </row>
    <row r="459" customFormat="false" ht="15" hidden="false" customHeight="false" outlineLevel="0" collapsed="false">
      <c r="L459" s="33"/>
    </row>
    <row r="460" customFormat="false" ht="15" hidden="false" customHeight="false" outlineLevel="0" collapsed="false">
      <c r="L460" s="33"/>
    </row>
    <row r="461" customFormat="false" ht="15" hidden="false" customHeight="false" outlineLevel="0" collapsed="false">
      <c r="L461" s="33"/>
    </row>
    <row r="462" customFormat="false" ht="15" hidden="false" customHeight="false" outlineLevel="0" collapsed="false">
      <c r="L462" s="33"/>
    </row>
    <row r="463" customFormat="false" ht="15" hidden="false" customHeight="false" outlineLevel="0" collapsed="false">
      <c r="L463" s="33"/>
    </row>
    <row r="464" customFormat="false" ht="15" hidden="false" customHeight="false" outlineLevel="0" collapsed="false">
      <c r="L464" s="33"/>
    </row>
    <row r="465" customFormat="false" ht="15" hidden="false" customHeight="false" outlineLevel="0" collapsed="false">
      <c r="L465" s="33"/>
    </row>
    <row r="466" customFormat="false" ht="15" hidden="false" customHeight="false" outlineLevel="0" collapsed="false">
      <c r="L466" s="33"/>
    </row>
    <row r="467" customFormat="false" ht="15" hidden="false" customHeight="false" outlineLevel="0" collapsed="false">
      <c r="L467" s="33"/>
    </row>
    <row r="468" customFormat="false" ht="15" hidden="false" customHeight="false" outlineLevel="0" collapsed="false">
      <c r="L468" s="33"/>
    </row>
    <row r="469" customFormat="false" ht="15" hidden="false" customHeight="false" outlineLevel="0" collapsed="false">
      <c r="L469" s="33"/>
    </row>
    <row r="470" customFormat="false" ht="15" hidden="false" customHeight="false" outlineLevel="0" collapsed="false">
      <c r="L470" s="33"/>
    </row>
    <row r="471" customFormat="false" ht="15" hidden="false" customHeight="false" outlineLevel="0" collapsed="false">
      <c r="L471" s="33"/>
    </row>
    <row r="472" customFormat="false" ht="15" hidden="false" customHeight="false" outlineLevel="0" collapsed="false">
      <c r="L472" s="33"/>
    </row>
    <row r="473" customFormat="false" ht="15" hidden="false" customHeight="false" outlineLevel="0" collapsed="false">
      <c r="L473" s="33"/>
    </row>
    <row r="474" customFormat="false" ht="15" hidden="false" customHeight="false" outlineLevel="0" collapsed="false">
      <c r="L474" s="33"/>
    </row>
    <row r="475" customFormat="false" ht="15" hidden="false" customHeight="false" outlineLevel="0" collapsed="false">
      <c r="L475" s="33"/>
    </row>
    <row r="476" customFormat="false" ht="15" hidden="false" customHeight="false" outlineLevel="0" collapsed="false">
      <c r="L476" s="33"/>
    </row>
    <row r="477" customFormat="false" ht="15" hidden="false" customHeight="false" outlineLevel="0" collapsed="false">
      <c r="L477" s="33"/>
    </row>
    <row r="478" customFormat="false" ht="15" hidden="false" customHeight="false" outlineLevel="0" collapsed="false">
      <c r="L478" s="33"/>
    </row>
    <row r="479" customFormat="false" ht="15" hidden="false" customHeight="false" outlineLevel="0" collapsed="false">
      <c r="L479" s="33"/>
    </row>
    <row r="480" customFormat="false" ht="15" hidden="false" customHeight="false" outlineLevel="0" collapsed="false">
      <c r="L480" s="33"/>
    </row>
    <row r="481" customFormat="false" ht="15" hidden="false" customHeight="false" outlineLevel="0" collapsed="false">
      <c r="L481" s="33"/>
    </row>
    <row r="482" customFormat="false" ht="15" hidden="false" customHeight="false" outlineLevel="0" collapsed="false">
      <c r="L482" s="33"/>
    </row>
    <row r="483" customFormat="false" ht="15" hidden="false" customHeight="false" outlineLevel="0" collapsed="false">
      <c r="L483" s="33"/>
    </row>
    <row r="484" customFormat="false" ht="15" hidden="false" customHeight="false" outlineLevel="0" collapsed="false">
      <c r="L484" s="33"/>
    </row>
    <row r="485" customFormat="false" ht="15" hidden="false" customHeight="false" outlineLevel="0" collapsed="false">
      <c r="L485" s="33"/>
    </row>
    <row r="486" customFormat="false" ht="15" hidden="false" customHeight="false" outlineLevel="0" collapsed="false">
      <c r="L486" s="33"/>
    </row>
    <row r="487" customFormat="false" ht="15" hidden="false" customHeight="false" outlineLevel="0" collapsed="false">
      <c r="L487" s="33"/>
    </row>
    <row r="488" customFormat="false" ht="15" hidden="false" customHeight="false" outlineLevel="0" collapsed="false">
      <c r="L488" s="33"/>
    </row>
    <row r="489" customFormat="false" ht="15" hidden="false" customHeight="false" outlineLevel="0" collapsed="false">
      <c r="L489" s="33"/>
    </row>
    <row r="490" customFormat="false" ht="15" hidden="false" customHeight="false" outlineLevel="0" collapsed="false">
      <c r="L490" s="33"/>
    </row>
    <row r="491" customFormat="false" ht="15" hidden="false" customHeight="false" outlineLevel="0" collapsed="false">
      <c r="L491" s="33"/>
    </row>
    <row r="492" customFormat="false" ht="15" hidden="false" customHeight="false" outlineLevel="0" collapsed="false">
      <c r="L492" s="33"/>
    </row>
    <row r="493" customFormat="false" ht="15" hidden="false" customHeight="false" outlineLevel="0" collapsed="false">
      <c r="L493" s="33"/>
    </row>
    <row r="494" customFormat="false" ht="15" hidden="false" customHeight="false" outlineLevel="0" collapsed="false">
      <c r="L494" s="33"/>
    </row>
    <row r="495" customFormat="false" ht="15" hidden="false" customHeight="false" outlineLevel="0" collapsed="false">
      <c r="L495" s="33"/>
    </row>
    <row r="496" customFormat="false" ht="15" hidden="false" customHeight="false" outlineLevel="0" collapsed="false">
      <c r="L496" s="33"/>
    </row>
    <row r="497" customFormat="false" ht="15" hidden="false" customHeight="false" outlineLevel="0" collapsed="false">
      <c r="L497" s="33"/>
    </row>
    <row r="498" customFormat="false" ht="15" hidden="false" customHeight="false" outlineLevel="0" collapsed="false">
      <c r="L498" s="33"/>
    </row>
    <row r="499" customFormat="false" ht="15" hidden="false" customHeight="false" outlineLevel="0" collapsed="false">
      <c r="L499" s="33"/>
    </row>
    <row r="500" customFormat="false" ht="15" hidden="false" customHeight="false" outlineLevel="0" collapsed="false">
      <c r="L500" s="33"/>
    </row>
  </sheetData>
  <autoFilter ref="A1:M500"/>
  <conditionalFormatting sqref="A2:M500">
    <cfRule type="expression" priority="2" aboveAverage="0" equalAverage="0" bottom="0" percent="0" rank="0" text="" dxfId="9">
      <formula>$I2="Вырезано"</formula>
    </cfRule>
    <cfRule type="expression" priority="3" aboveAverage="0" equalAverage="0" bottom="0" percent="0" rank="0" text="" dxfId="10">
      <formula>$I2="Готово"</formula>
    </cfRule>
    <cfRule type="expression" priority="4" aboveAverage="0" equalAverage="0" bottom="0" percent="0" rank="0" text="" dxfId="11">
      <formula>$I2="Доработать"</formula>
    </cfRule>
    <cfRule type="expression" priority="5" aboveAverage="0" equalAverage="0" bottom="0" percent="0" rank="0" text="" dxfId="12">
      <formula>$I2="На проверке"</formula>
    </cfRule>
    <cfRule type="expression" priority="6" aboveAverage="0" equalAverage="0" bottom="0" percent="0" rank="0" text="" dxfId="13">
      <formula>$I2="В работе"</formula>
    </cfRule>
    <cfRule type="expression" priority="7" aboveAverage="0" equalAverage="0" bottom="0" percent="0" rank="0" text="" dxfId="14">
      <formula>$I2="Не начато"</formula>
    </cfRule>
  </conditionalFormatting>
  <conditionalFormatting sqref="J2:J500">
    <cfRule type="cellIs" priority="8" operator="equal" aboveAverage="0" equalAverage="0" bottom="0" percent="0" rank="0" text="" dxfId="15">
      <formula>"Высокий"</formula>
    </cfRule>
  </conditionalFormatting>
  <conditionalFormatting sqref="L2:L500">
    <cfRule type="expression" priority="9" aboveAverage="0" equalAverage="0" bottom="0" percent="0" rank="0" text="" dxfId="16">
      <formula>AND($L2&lt;&gt;"",$L2&lt;TODAY(),$I2&lt;&gt;"Готово",$I2&lt;&gt;"Вырезано")</formula>
    </cfRule>
    <cfRule type="expression" priority="10" aboveAverage="0" equalAverage="0" bottom="0" percent="0" rank="0" text="" dxfId="17">
      <formula>AND($L2&lt;&gt;"",$L2-TODAY()&lt;=2,$I2&lt;&gt;"Готово",$I2&lt;&gt;"Вырезано")</formula>
    </cfRule>
  </conditionalFormatting>
  <conditionalFormatting sqref="G2:G150">
    <cfRule type="cellIs" priority="11" operator="equal" aboveAverage="0" equalAverage="0" bottom="0" percent="0" rank="0" text="" dxfId="18">
      <formula>0</formula>
    </cfRule>
  </conditionalFormatting>
  <dataValidations count="4">
    <dataValidation allowBlank="true" error="Выберите значение из списка" errorStyle="stop" errorTitle="Тип ассета" operator="between" prompt="Выберите из списка" promptTitle="Тип ассета" showDropDown="false" showErrorMessage="false" showInputMessage="false" sqref="B2:B500" type="list">
      <formula1>Справочник!$C$2:$C$10</formula1>
      <formula2>0</formula2>
    </dataValidation>
    <dataValidation allowBlank="true" error="Выберите значение из списка" errorStyle="stop" errorTitle="Статус" operator="between" prompt="Выберите из списка" promptTitle="Статус" showDropDown="false" showErrorMessage="false" showInputMessage="false" sqref="I2:I500" type="list">
      <formula1>Справочник!$A$2:$A$7</formula1>
      <formula2>0</formula2>
    </dataValidation>
    <dataValidation allowBlank="true" error="Выберите значение из списка" errorStyle="stop" errorTitle="Приоритет" operator="between" prompt="Выберите из списка" promptTitle="Приоритет" showDropDown="false" showErrorMessage="false" showInputMessage="false" sqref="J2:J500" type="list">
      <formula1>Справочник!$B$2:$B$4</formula1>
      <formula2>0</formula2>
    </dataValidation>
    <dataValidation allowBlank="true" error="Введите дату в формате ДД.ММ.ГГГГ" errorStyle="stop" operator="greaterThan" showDropDown="false" showErrorMessage="false" showInputMessage="false" sqref="L2:L500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8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25" t="s">
        <v>69</v>
      </c>
      <c r="B1" s="25" t="s">
        <v>666</v>
      </c>
      <c r="C1" s="25" t="s">
        <v>667</v>
      </c>
      <c r="D1" s="25" t="s">
        <v>668</v>
      </c>
      <c r="E1" s="25" t="s">
        <v>669</v>
      </c>
      <c r="F1" s="25" t="s">
        <v>670</v>
      </c>
      <c r="G1" s="25" t="s">
        <v>86</v>
      </c>
      <c r="H1" s="25" t="s">
        <v>90</v>
      </c>
    </row>
    <row r="2" customFormat="false" ht="23.85" hidden="false" customHeight="false" outlineLevel="0" collapsed="false">
      <c r="A2" s="27" t="n">
        <v>1</v>
      </c>
      <c r="B2" s="28" t="s">
        <v>671</v>
      </c>
      <c r="C2" s="28" t="s">
        <v>672</v>
      </c>
      <c r="D2" s="28" t="s">
        <v>673</v>
      </c>
      <c r="E2" s="28" t="s">
        <v>674</v>
      </c>
      <c r="F2" s="28" t="s">
        <v>675</v>
      </c>
      <c r="G2" s="28" t="s">
        <v>27</v>
      </c>
      <c r="H2" s="28"/>
    </row>
    <row r="3" customFormat="false" ht="23.85" hidden="false" customHeight="false" outlineLevel="0" collapsed="false">
      <c r="A3" s="27" t="n">
        <v>2</v>
      </c>
      <c r="B3" s="28" t="s">
        <v>676</v>
      </c>
      <c r="C3" s="28" t="s">
        <v>219</v>
      </c>
      <c r="D3" s="28" t="s">
        <v>439</v>
      </c>
      <c r="E3" s="28" t="s">
        <v>677</v>
      </c>
      <c r="F3" s="28" t="s">
        <v>678</v>
      </c>
      <c r="G3" s="28" t="s">
        <v>27</v>
      </c>
      <c r="H3" s="28"/>
    </row>
    <row r="4" customFormat="false" ht="35.05" hidden="false" customHeight="false" outlineLevel="0" collapsed="false">
      <c r="A4" s="27" t="n">
        <v>3</v>
      </c>
      <c r="B4" s="28" t="s">
        <v>679</v>
      </c>
      <c r="C4" s="28" t="s">
        <v>252</v>
      </c>
      <c r="D4" s="28" t="s">
        <v>415</v>
      </c>
      <c r="E4" s="28" t="s">
        <v>680</v>
      </c>
      <c r="F4" s="28" t="s">
        <v>681</v>
      </c>
      <c r="G4" s="28" t="s">
        <v>27</v>
      </c>
      <c r="H4" s="28"/>
    </row>
    <row r="5" customFormat="false" ht="23.85" hidden="false" customHeight="false" outlineLevel="0" collapsed="false">
      <c r="A5" s="27" t="n">
        <v>4</v>
      </c>
      <c r="B5" s="28" t="s">
        <v>682</v>
      </c>
      <c r="C5" s="28" t="s">
        <v>272</v>
      </c>
      <c r="D5" s="28" t="s">
        <v>442</v>
      </c>
      <c r="E5" s="28" t="s">
        <v>683</v>
      </c>
      <c r="F5" s="28" t="s">
        <v>684</v>
      </c>
      <c r="G5" s="28" t="s">
        <v>27</v>
      </c>
      <c r="H5" s="28"/>
    </row>
    <row r="6" customFormat="false" ht="35.05" hidden="false" customHeight="false" outlineLevel="0" collapsed="false">
      <c r="A6" s="27" t="n">
        <v>5</v>
      </c>
      <c r="B6" s="28" t="s">
        <v>685</v>
      </c>
      <c r="C6" s="28" t="s">
        <v>276</v>
      </c>
      <c r="D6" s="28" t="s">
        <v>309</v>
      </c>
      <c r="E6" s="28" t="s">
        <v>686</v>
      </c>
      <c r="F6" s="28" t="s">
        <v>687</v>
      </c>
      <c r="G6" s="28" t="s">
        <v>27</v>
      </c>
      <c r="H6" s="28"/>
    </row>
    <row r="7" customFormat="false" ht="23.85" hidden="false" customHeight="false" outlineLevel="0" collapsed="false">
      <c r="A7" s="27" t="n">
        <v>6</v>
      </c>
      <c r="B7" s="28" t="s">
        <v>688</v>
      </c>
      <c r="C7" s="28" t="s">
        <v>689</v>
      </c>
      <c r="D7" s="28" t="s">
        <v>421</v>
      </c>
      <c r="E7" s="28" t="s">
        <v>690</v>
      </c>
      <c r="F7" s="28" t="s">
        <v>691</v>
      </c>
      <c r="G7" s="28" t="s">
        <v>27</v>
      </c>
      <c r="H7" s="28"/>
    </row>
    <row r="8" customFormat="false" ht="23.85" hidden="false" customHeight="false" outlineLevel="0" collapsed="false">
      <c r="A8" s="27" t="n">
        <v>7</v>
      </c>
      <c r="B8" s="28" t="s">
        <v>692</v>
      </c>
      <c r="C8" s="28" t="s">
        <v>288</v>
      </c>
      <c r="D8" s="28" t="s">
        <v>412</v>
      </c>
      <c r="E8" s="28" t="s">
        <v>693</v>
      </c>
      <c r="F8" s="28" t="s">
        <v>694</v>
      </c>
      <c r="G8" s="28" t="s">
        <v>27</v>
      </c>
      <c r="H8" s="28"/>
    </row>
    <row r="9" customFormat="false" ht="15" hidden="false" customHeight="false" outlineLevel="0" collapsed="false">
      <c r="A9" s="27" t="n">
        <v>8</v>
      </c>
      <c r="B9" s="28" t="s">
        <v>695</v>
      </c>
      <c r="C9" s="28" t="s">
        <v>298</v>
      </c>
      <c r="D9" s="28" t="s">
        <v>412</v>
      </c>
      <c r="E9" s="28" t="s">
        <v>696</v>
      </c>
      <c r="F9" s="28" t="s">
        <v>697</v>
      </c>
      <c r="G9" s="28" t="s">
        <v>27</v>
      </c>
      <c r="H9" s="28"/>
    </row>
    <row r="10" customFormat="false" ht="23.85" hidden="false" customHeight="false" outlineLevel="0" collapsed="false">
      <c r="A10" s="27" t="n">
        <v>9</v>
      </c>
      <c r="B10" s="28" t="s">
        <v>698</v>
      </c>
      <c r="C10" s="28" t="s">
        <v>320</v>
      </c>
      <c r="D10" s="28" t="s">
        <v>699</v>
      </c>
      <c r="E10" s="28" t="s">
        <v>700</v>
      </c>
      <c r="F10" s="28"/>
      <c r="G10" s="28" t="s">
        <v>27</v>
      </c>
      <c r="H10" s="28"/>
    </row>
    <row r="11" customFormat="false" ht="23.85" hidden="false" customHeight="false" outlineLevel="0" collapsed="false">
      <c r="A11" s="27" t="n">
        <v>10</v>
      </c>
      <c r="B11" s="28" t="s">
        <v>701</v>
      </c>
      <c r="C11" s="28" t="s">
        <v>376</v>
      </c>
      <c r="D11" s="28" t="s">
        <v>702</v>
      </c>
      <c r="E11" s="28" t="s">
        <v>703</v>
      </c>
      <c r="F11" s="28"/>
      <c r="G11" s="28" t="s">
        <v>27</v>
      </c>
      <c r="H11" s="28"/>
    </row>
    <row r="12" customFormat="false" ht="15" hidden="false" customHeight="false" outlineLevel="0" collapsed="false">
      <c r="A12" s="27" t="n">
        <v>11</v>
      </c>
      <c r="B12" s="28" t="s">
        <v>704</v>
      </c>
      <c r="C12" s="28" t="s">
        <v>705</v>
      </c>
      <c r="D12" s="28" t="s">
        <v>421</v>
      </c>
      <c r="E12" s="28" t="s">
        <v>706</v>
      </c>
      <c r="F12" s="28"/>
      <c r="G12" s="28" t="s">
        <v>27</v>
      </c>
      <c r="H12" s="28"/>
    </row>
    <row r="13" customFormat="false" ht="15" hidden="false" customHeight="false" outlineLevel="0" collapsed="false">
      <c r="A13" s="27" t="n">
        <v>12</v>
      </c>
      <c r="B13" s="28" t="s">
        <v>707</v>
      </c>
      <c r="C13" s="28" t="s">
        <v>194</v>
      </c>
      <c r="D13" s="28" t="s">
        <v>403</v>
      </c>
      <c r="E13" s="28" t="s">
        <v>708</v>
      </c>
      <c r="F13" s="28" t="s">
        <v>709</v>
      </c>
      <c r="G13" s="28" t="s">
        <v>27</v>
      </c>
      <c r="H13" s="28"/>
    </row>
    <row r="14" customFormat="false" ht="15" hidden="false" customHeight="false" outlineLevel="0" collapsed="false">
      <c r="A14" s="27" t="n">
        <v>13</v>
      </c>
      <c r="B14" s="28" t="s">
        <v>710</v>
      </c>
      <c r="C14" s="28" t="s">
        <v>711</v>
      </c>
      <c r="D14" s="28" t="s">
        <v>436</v>
      </c>
      <c r="E14" s="28" t="s">
        <v>712</v>
      </c>
      <c r="F14" s="28"/>
      <c r="G14" s="28" t="s">
        <v>27</v>
      </c>
      <c r="H14" s="28"/>
    </row>
  </sheetData>
  <autoFilter ref="A1:H500"/>
  <conditionalFormatting sqref="A2:H500">
    <cfRule type="expression" priority="2" aboveAverage="0" equalAverage="0" bottom="0" percent="0" rank="0" text="" dxfId="9">
      <formula>$G2="Вырезано"</formula>
    </cfRule>
    <cfRule type="expression" priority="3" aboveAverage="0" equalAverage="0" bottom="0" percent="0" rank="0" text="" dxfId="10">
      <formula>$G2="Готово"</formula>
    </cfRule>
    <cfRule type="expression" priority="4" aboveAverage="0" equalAverage="0" bottom="0" percent="0" rank="0" text="" dxfId="11">
      <formula>$G2="Доработать"</formula>
    </cfRule>
    <cfRule type="expression" priority="5" aboveAverage="0" equalAverage="0" bottom="0" percent="0" rank="0" text="" dxfId="12">
      <formula>$G2="На проверке"</formula>
    </cfRule>
    <cfRule type="expression" priority="6" aboveAverage="0" equalAverage="0" bottom="0" percent="0" rank="0" text="" dxfId="13">
      <formula>$G2="В работе"</formula>
    </cfRule>
    <cfRule type="expression" priority="7" aboveAverage="0" equalAverage="0" bottom="0" percent="0" rank="0" text="" dxfId="14">
      <formula>$G2="Не начато"</formula>
    </cfRule>
  </conditionalFormatting>
  <dataValidations count="1">
    <dataValidation allowBlank="true" error="Выберите значение из списка" errorStyle="stop" errorTitle="Статус" operator="between" prompt="Выберите из списка" promptTitle="Статус" showDropDown="false" showErrorMessage="false" showInputMessage="false" sqref="G2:G500" type="list">
      <formula1>Справочник!$A$2:$A$7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25" t="s">
        <v>184</v>
      </c>
      <c r="B1" s="25" t="s">
        <v>70</v>
      </c>
      <c r="C1" s="25" t="s">
        <v>713</v>
      </c>
      <c r="D1" s="25" t="s">
        <v>446</v>
      </c>
      <c r="E1" s="25" t="s">
        <v>714</v>
      </c>
      <c r="F1" s="25" t="s">
        <v>715</v>
      </c>
      <c r="G1" s="25" t="s">
        <v>716</v>
      </c>
      <c r="H1" s="25" t="s">
        <v>717</v>
      </c>
      <c r="I1" s="25" t="s">
        <v>86</v>
      </c>
      <c r="J1" s="25" t="s">
        <v>90</v>
      </c>
    </row>
    <row r="2" customFormat="false" ht="15" hidden="false" customHeight="false" outlineLevel="0" collapsed="false">
      <c r="A2" s="37" t="s">
        <v>718</v>
      </c>
      <c r="B2" s="37" t="n">
        <v>1</v>
      </c>
      <c r="C2" s="36" t="s">
        <v>194</v>
      </c>
      <c r="D2" s="37" t="s">
        <v>719</v>
      </c>
      <c r="E2" s="28" t="s">
        <v>720</v>
      </c>
      <c r="F2" s="28"/>
      <c r="G2" s="28"/>
      <c r="H2" s="28"/>
      <c r="I2" s="37" t="s">
        <v>27</v>
      </c>
      <c r="J2" s="28"/>
    </row>
    <row r="3" customFormat="false" ht="23.85" hidden="false" customHeight="false" outlineLevel="0" collapsed="false">
      <c r="A3" s="37" t="s">
        <v>721</v>
      </c>
      <c r="B3" s="37" t="n">
        <v>2</v>
      </c>
      <c r="C3" s="36" t="s">
        <v>236</v>
      </c>
      <c r="D3" s="37" t="s">
        <v>722</v>
      </c>
      <c r="E3" s="28" t="s">
        <v>381</v>
      </c>
      <c r="F3" s="28" t="s">
        <v>105</v>
      </c>
      <c r="G3" s="28" t="s">
        <v>723</v>
      </c>
      <c r="H3" s="28"/>
      <c r="I3" s="37" t="s">
        <v>27</v>
      </c>
      <c r="J3" s="28"/>
    </row>
    <row r="4" customFormat="false" ht="23.85" hidden="false" customHeight="false" outlineLevel="0" collapsed="false">
      <c r="A4" s="37" t="s">
        <v>724</v>
      </c>
      <c r="B4" s="37" t="n">
        <v>2</v>
      </c>
      <c r="C4" s="36" t="s">
        <v>240</v>
      </c>
      <c r="D4" s="37" t="s">
        <v>722</v>
      </c>
      <c r="E4" s="28" t="s">
        <v>383</v>
      </c>
      <c r="F4" s="28" t="s">
        <v>105</v>
      </c>
      <c r="G4" s="28" t="s">
        <v>723</v>
      </c>
      <c r="H4" s="28"/>
      <c r="I4" s="37" t="s">
        <v>27</v>
      </c>
      <c r="J4" s="28"/>
    </row>
    <row r="5" customFormat="false" ht="15" hidden="false" customHeight="false" outlineLevel="0" collapsed="false">
      <c r="A5" s="37" t="s">
        <v>725</v>
      </c>
      <c r="B5" s="37" t="n">
        <v>3</v>
      </c>
      <c r="C5" s="36" t="s">
        <v>252</v>
      </c>
      <c r="D5" s="37" t="s">
        <v>726</v>
      </c>
      <c r="E5" s="28" t="s">
        <v>109</v>
      </c>
      <c r="F5" s="28"/>
      <c r="G5" s="28" t="s">
        <v>256</v>
      </c>
      <c r="H5" s="28"/>
      <c r="I5" s="37" t="s">
        <v>27</v>
      </c>
      <c r="J5" s="28"/>
    </row>
    <row r="6" customFormat="false" ht="15" hidden="false" customHeight="false" outlineLevel="0" collapsed="false">
      <c r="A6" s="37" t="s">
        <v>727</v>
      </c>
      <c r="B6" s="37" t="n">
        <v>4</v>
      </c>
      <c r="C6" s="36" t="s">
        <v>272</v>
      </c>
      <c r="D6" s="37" t="s">
        <v>722</v>
      </c>
      <c r="E6" s="28" t="s">
        <v>459</v>
      </c>
      <c r="F6" s="28" t="s">
        <v>275</v>
      </c>
      <c r="G6" s="28" t="s">
        <v>728</v>
      </c>
      <c r="H6" s="28"/>
      <c r="I6" s="37" t="s">
        <v>27</v>
      </c>
      <c r="J6" s="28"/>
    </row>
    <row r="7" customFormat="false" ht="15" hidden="false" customHeight="false" outlineLevel="0" collapsed="false">
      <c r="A7" s="37" t="s">
        <v>729</v>
      </c>
      <c r="B7" s="37" t="n">
        <v>4</v>
      </c>
      <c r="C7" s="36" t="s">
        <v>276</v>
      </c>
      <c r="D7" s="37" t="s">
        <v>722</v>
      </c>
      <c r="E7" s="28" t="s">
        <v>459</v>
      </c>
      <c r="F7" s="28" t="s">
        <v>278</v>
      </c>
      <c r="G7" s="28" t="s">
        <v>730</v>
      </c>
      <c r="H7" s="28"/>
      <c r="I7" s="37" t="s">
        <v>27</v>
      </c>
      <c r="J7" s="28"/>
    </row>
    <row r="8" customFormat="false" ht="15" hidden="false" customHeight="false" outlineLevel="0" collapsed="false">
      <c r="A8" s="37" t="s">
        <v>731</v>
      </c>
      <c r="B8" s="37" t="n">
        <v>4</v>
      </c>
      <c r="C8" s="36" t="s">
        <v>282</v>
      </c>
      <c r="D8" s="37" t="s">
        <v>722</v>
      </c>
      <c r="E8" s="28" t="s">
        <v>383</v>
      </c>
      <c r="F8" s="28" t="s">
        <v>284</v>
      </c>
      <c r="G8" s="28" t="s">
        <v>732</v>
      </c>
      <c r="H8" s="28"/>
      <c r="I8" s="37" t="s">
        <v>27</v>
      </c>
      <c r="J8" s="28"/>
    </row>
    <row r="9" customFormat="false" ht="15" hidden="false" customHeight="false" outlineLevel="0" collapsed="false">
      <c r="A9" s="37" t="s">
        <v>733</v>
      </c>
      <c r="B9" s="37" t="n">
        <v>5</v>
      </c>
      <c r="C9" s="36" t="s">
        <v>293</v>
      </c>
      <c r="D9" s="37" t="s">
        <v>726</v>
      </c>
      <c r="E9" s="28" t="s">
        <v>734</v>
      </c>
      <c r="F9" s="28"/>
      <c r="G9" s="28" t="s">
        <v>735</v>
      </c>
      <c r="H9" s="28"/>
      <c r="I9" s="37" t="s">
        <v>27</v>
      </c>
      <c r="J9" s="28"/>
    </row>
    <row r="10" customFormat="false" ht="15" hidden="false" customHeight="false" outlineLevel="0" collapsed="false">
      <c r="A10" s="37" t="s">
        <v>736</v>
      </c>
      <c r="B10" s="37" t="n">
        <v>5</v>
      </c>
      <c r="C10" s="36" t="s">
        <v>303</v>
      </c>
      <c r="D10" s="37" t="s">
        <v>722</v>
      </c>
      <c r="E10" s="28" t="s">
        <v>383</v>
      </c>
      <c r="F10" s="28" t="s">
        <v>129</v>
      </c>
      <c r="G10" s="28" t="s">
        <v>737</v>
      </c>
      <c r="H10" s="28"/>
      <c r="I10" s="37" t="s">
        <v>27</v>
      </c>
      <c r="J10" s="28"/>
    </row>
    <row r="11" customFormat="false" ht="15" hidden="false" customHeight="false" outlineLevel="0" collapsed="false">
      <c r="A11" s="37" t="s">
        <v>738</v>
      </c>
      <c r="B11" s="37" t="n">
        <v>6</v>
      </c>
      <c r="C11" s="36" t="s">
        <v>309</v>
      </c>
      <c r="D11" s="37" t="s">
        <v>722</v>
      </c>
      <c r="E11" s="28" t="s">
        <v>453</v>
      </c>
      <c r="F11" s="28" t="s">
        <v>313</v>
      </c>
      <c r="G11" s="28" t="s">
        <v>739</v>
      </c>
      <c r="H11" s="28"/>
      <c r="I11" s="37" t="s">
        <v>27</v>
      </c>
      <c r="J11" s="28"/>
    </row>
    <row r="12" customFormat="false" ht="15" hidden="false" customHeight="false" outlineLevel="0" collapsed="false">
      <c r="A12" s="37" t="s">
        <v>740</v>
      </c>
      <c r="B12" s="37" t="n">
        <v>6</v>
      </c>
      <c r="C12" s="36" t="s">
        <v>317</v>
      </c>
      <c r="D12" s="37" t="s">
        <v>722</v>
      </c>
      <c r="E12" s="28" t="s">
        <v>381</v>
      </c>
      <c r="F12" s="28" t="s">
        <v>319</v>
      </c>
      <c r="G12" s="28" t="s">
        <v>741</v>
      </c>
      <c r="H12" s="28"/>
      <c r="I12" s="37" t="s">
        <v>27</v>
      </c>
      <c r="J12" s="28"/>
    </row>
    <row r="13" customFormat="false" ht="15" hidden="false" customHeight="false" outlineLevel="0" collapsed="false">
      <c r="A13" s="37" t="s">
        <v>742</v>
      </c>
      <c r="B13" s="37" t="n">
        <v>6</v>
      </c>
      <c r="C13" s="36" t="s">
        <v>324</v>
      </c>
      <c r="D13" s="37" t="s">
        <v>726</v>
      </c>
      <c r="E13" s="28" t="s">
        <v>507</v>
      </c>
      <c r="F13" s="28"/>
      <c r="G13" s="28" t="s">
        <v>743</v>
      </c>
      <c r="H13" s="28"/>
      <c r="I13" s="37" t="s">
        <v>27</v>
      </c>
      <c r="J13" s="28"/>
    </row>
    <row r="14" customFormat="false" ht="15" hidden="false" customHeight="false" outlineLevel="0" collapsed="false">
      <c r="A14" s="37" t="s">
        <v>744</v>
      </c>
      <c r="B14" s="37" t="n">
        <v>7</v>
      </c>
      <c r="C14" s="36" t="s">
        <v>328</v>
      </c>
      <c r="D14" s="37" t="s">
        <v>745</v>
      </c>
      <c r="E14" s="28" t="s">
        <v>746</v>
      </c>
      <c r="F14" s="28"/>
      <c r="G14" s="28" t="s">
        <v>747</v>
      </c>
      <c r="H14" s="28"/>
      <c r="I14" s="37" t="s">
        <v>27</v>
      </c>
      <c r="J14" s="28"/>
    </row>
    <row r="15" customFormat="false" ht="15" hidden="false" customHeight="false" outlineLevel="0" collapsed="false">
      <c r="A15" s="37" t="s">
        <v>748</v>
      </c>
      <c r="B15" s="37" t="n">
        <v>8</v>
      </c>
      <c r="C15" s="36" t="s">
        <v>359</v>
      </c>
      <c r="D15" s="37" t="s">
        <v>722</v>
      </c>
      <c r="E15" s="28" t="s">
        <v>482</v>
      </c>
      <c r="F15" s="28" t="s">
        <v>151</v>
      </c>
      <c r="G15" s="28" t="s">
        <v>749</v>
      </c>
      <c r="H15" s="28"/>
      <c r="I15" s="37" t="s">
        <v>27</v>
      </c>
      <c r="J15" s="28"/>
    </row>
    <row r="16" customFormat="false" ht="15" hidden="false" customHeight="false" outlineLevel="0" collapsed="false">
      <c r="A16" s="37" t="s">
        <v>750</v>
      </c>
      <c r="B16" s="37" t="n">
        <v>9</v>
      </c>
      <c r="C16" s="36" t="s">
        <v>380</v>
      </c>
      <c r="D16" s="37" t="s">
        <v>722</v>
      </c>
      <c r="E16" s="28" t="s">
        <v>381</v>
      </c>
      <c r="F16" s="28" t="s">
        <v>159</v>
      </c>
      <c r="G16" s="28" t="s">
        <v>751</v>
      </c>
      <c r="H16" s="28"/>
      <c r="I16" s="37" t="s">
        <v>27</v>
      </c>
      <c r="J16" s="28"/>
    </row>
    <row r="17" customFormat="false" ht="15" hidden="false" customHeight="false" outlineLevel="0" collapsed="false">
      <c r="A17" s="37" t="s">
        <v>752</v>
      </c>
      <c r="B17" s="37" t="n">
        <v>9</v>
      </c>
      <c r="C17" s="36" t="s">
        <v>382</v>
      </c>
      <c r="D17" s="37" t="s">
        <v>722</v>
      </c>
      <c r="E17" s="28" t="s">
        <v>383</v>
      </c>
      <c r="F17" s="28" t="s">
        <v>159</v>
      </c>
      <c r="G17" s="28" t="s">
        <v>751</v>
      </c>
      <c r="H17" s="28"/>
      <c r="I17" s="37" t="s">
        <v>27</v>
      </c>
      <c r="J17" s="28"/>
    </row>
    <row r="18" customFormat="false" ht="15" hidden="false" customHeight="false" outlineLevel="0" collapsed="false">
      <c r="A18" s="37" t="s">
        <v>753</v>
      </c>
      <c r="B18" s="37" t="n">
        <v>10</v>
      </c>
      <c r="C18" s="36" t="s">
        <v>397</v>
      </c>
      <c r="D18" s="37" t="s">
        <v>726</v>
      </c>
      <c r="E18" s="28" t="s">
        <v>109</v>
      </c>
      <c r="F18" s="28"/>
      <c r="G18" s="28" t="s">
        <v>754</v>
      </c>
      <c r="H18" s="28"/>
      <c r="I18" s="37" t="s">
        <v>27</v>
      </c>
      <c r="J18" s="28"/>
    </row>
    <row r="19" customFormat="false" ht="15" hidden="false" customHeight="false" outlineLevel="0" collapsed="false">
      <c r="A19" s="37" t="s">
        <v>755</v>
      </c>
      <c r="B19" s="37" t="n">
        <v>11</v>
      </c>
      <c r="C19" s="36" t="s">
        <v>403</v>
      </c>
      <c r="D19" s="37" t="s">
        <v>726</v>
      </c>
      <c r="E19" s="28" t="s">
        <v>756</v>
      </c>
      <c r="F19" s="28"/>
      <c r="G19" s="28" t="s">
        <v>757</v>
      </c>
      <c r="H19" s="28"/>
      <c r="I19" s="37" t="s">
        <v>27</v>
      </c>
      <c r="J19" s="28"/>
    </row>
    <row r="20" customFormat="false" ht="15" hidden="false" customHeight="false" outlineLevel="0" collapsed="false">
      <c r="A20" s="37" t="s">
        <v>758</v>
      </c>
      <c r="B20" s="37" t="n">
        <v>11</v>
      </c>
      <c r="C20" s="36" t="s">
        <v>421</v>
      </c>
      <c r="D20" s="37" t="s">
        <v>759</v>
      </c>
      <c r="E20" s="28" t="s">
        <v>760</v>
      </c>
      <c r="F20" s="28"/>
      <c r="G20" s="28" t="s">
        <v>761</v>
      </c>
      <c r="H20" s="28"/>
      <c r="I20" s="37" t="s">
        <v>27</v>
      </c>
      <c r="J20" s="28"/>
    </row>
    <row r="21" customFormat="false" ht="15" hidden="false" customHeight="false" outlineLevel="0" collapsed="false">
      <c r="A21" s="37" t="s">
        <v>762</v>
      </c>
      <c r="B21" s="37" t="n">
        <v>11</v>
      </c>
      <c r="C21" s="36" t="s">
        <v>425</v>
      </c>
      <c r="D21" s="37" t="s">
        <v>726</v>
      </c>
      <c r="E21" s="28" t="s">
        <v>763</v>
      </c>
      <c r="F21" s="28"/>
      <c r="G21" s="28" t="s">
        <v>764</v>
      </c>
      <c r="H21" s="28"/>
      <c r="I21" s="37" t="s">
        <v>27</v>
      </c>
      <c r="J21" s="28"/>
    </row>
    <row r="22" customFormat="false" ht="15" hidden="false" customHeight="false" outlineLevel="0" collapsed="false">
      <c r="A22" s="37" t="s">
        <v>765</v>
      </c>
      <c r="B22" s="37" t="n">
        <v>12</v>
      </c>
      <c r="C22" s="36" t="s">
        <v>428</v>
      </c>
      <c r="D22" s="37" t="s">
        <v>726</v>
      </c>
      <c r="E22" s="28" t="s">
        <v>766</v>
      </c>
      <c r="F22" s="28"/>
      <c r="G22" s="28" t="s">
        <v>767</v>
      </c>
      <c r="H22" s="28"/>
      <c r="I22" s="37" t="s">
        <v>27</v>
      </c>
      <c r="J22" s="28"/>
    </row>
    <row r="23" customFormat="false" ht="15" hidden="false" customHeight="false" outlineLevel="0" collapsed="false">
      <c r="A23" s="37" t="s">
        <v>768</v>
      </c>
      <c r="B23" s="37" t="n">
        <v>12</v>
      </c>
      <c r="C23" s="36" t="s">
        <v>442</v>
      </c>
      <c r="D23" s="37" t="s">
        <v>722</v>
      </c>
      <c r="E23" s="28" t="s">
        <v>94</v>
      </c>
      <c r="F23" s="28" t="s">
        <v>180</v>
      </c>
      <c r="G23" s="28" t="s">
        <v>769</v>
      </c>
      <c r="H23" s="28"/>
      <c r="I23" s="37" t="s">
        <v>27</v>
      </c>
      <c r="J23" s="28"/>
    </row>
    <row r="24" customFormat="false" ht="15" hidden="false" customHeight="false" outlineLevel="0" collapsed="false">
      <c r="A24" s="37" t="s">
        <v>770</v>
      </c>
      <c r="B24" s="37" t="n">
        <v>12</v>
      </c>
      <c r="C24" s="36" t="s">
        <v>442</v>
      </c>
      <c r="D24" s="37" t="s">
        <v>745</v>
      </c>
      <c r="E24" s="28" t="s">
        <v>771</v>
      </c>
      <c r="F24" s="28"/>
      <c r="G24" s="28" t="s">
        <v>772</v>
      </c>
      <c r="H24" s="28"/>
      <c r="I24" s="37" t="s">
        <v>27</v>
      </c>
      <c r="J24" s="28"/>
    </row>
  </sheetData>
  <autoFilter ref="A1:J500"/>
  <conditionalFormatting sqref="A2:J500">
    <cfRule type="expression" priority="2" aboveAverage="0" equalAverage="0" bottom="0" percent="0" rank="0" text="" dxfId="9">
      <formula>$I2="Вырезано"</formula>
    </cfRule>
    <cfRule type="expression" priority="3" aboveAverage="0" equalAverage="0" bottom="0" percent="0" rank="0" text="" dxfId="10">
      <formula>$I2="Готово"</formula>
    </cfRule>
    <cfRule type="expression" priority="4" aboveAverage="0" equalAverage="0" bottom="0" percent="0" rank="0" text="" dxfId="11">
      <formula>$I2="Доработать"</formula>
    </cfRule>
    <cfRule type="expression" priority="5" aboveAverage="0" equalAverage="0" bottom="0" percent="0" rank="0" text="" dxfId="12">
      <formula>$I2="На проверке"</formula>
    </cfRule>
    <cfRule type="expression" priority="6" aboveAverage="0" equalAverage="0" bottom="0" percent="0" rank="0" text="" dxfId="13">
      <formula>$I2="В работе"</formula>
    </cfRule>
    <cfRule type="expression" priority="7" aboveAverage="0" equalAverage="0" bottom="0" percent="0" rank="0" text="" dxfId="14">
      <formula>$I2="Не начато"</formula>
    </cfRule>
  </conditionalFormatting>
  <dataValidations count="2">
    <dataValidation allowBlank="true" error="Выберите значение из списка" errorStyle="stop" errorTitle="Тип звука" operator="between" prompt="Выберите из списка" promptTitle="Тип звука" showDropDown="false" showErrorMessage="false" showInputMessage="false" sqref="D2:D500" type="list">
      <formula1>Справочник!$H$2:$H$6</formula1>
      <formula2>0</formula2>
    </dataValidation>
    <dataValidation allowBlank="true" error="Выберите значение из списка" errorStyle="stop" errorTitle="Статус" operator="between" prompt="Выберите из списка" promptTitle="Статус" showDropDown="false" showErrorMessage="false" showInputMessage="false" sqref="I2:I500" type="list">
      <formula1>Справочник!$A$2:$A$7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33.75" hidden="false" customHeight="true" outlineLevel="0" collapsed="false">
      <c r="A1" s="25" t="s">
        <v>184</v>
      </c>
      <c r="B1" s="25" t="s">
        <v>773</v>
      </c>
      <c r="C1" s="25" t="s">
        <v>774</v>
      </c>
      <c r="D1" s="25" t="s">
        <v>88</v>
      </c>
      <c r="E1" s="25" t="s">
        <v>89</v>
      </c>
      <c r="F1" s="26" t="s">
        <v>775</v>
      </c>
      <c r="G1" s="25" t="s">
        <v>86</v>
      </c>
      <c r="H1" s="25" t="s">
        <v>87</v>
      </c>
      <c r="I1" s="25" t="s">
        <v>90</v>
      </c>
    </row>
    <row r="2" customFormat="false" ht="15" hidden="false" customHeight="false" outlineLevel="0" collapsed="false">
      <c r="A2" s="37" t="s">
        <v>776</v>
      </c>
      <c r="B2" s="37" t="s">
        <v>777</v>
      </c>
      <c r="C2" s="28" t="s">
        <v>778</v>
      </c>
      <c r="D2" s="28"/>
      <c r="E2" s="40" t="n">
        <v>46324</v>
      </c>
      <c r="F2" s="30" t="str">
        <f aca="true">IF(OR(E2="",G2="Готово",G2="Вырезано"),"",E2-TODAY())</f>
        <v/>
      </c>
      <c r="G2" s="37" t="s">
        <v>31</v>
      </c>
      <c r="H2" s="37" t="s">
        <v>99</v>
      </c>
      <c r="I2" s="28" t="s">
        <v>779</v>
      </c>
    </row>
    <row r="3" customFormat="false" ht="35.05" hidden="false" customHeight="false" outlineLevel="0" collapsed="false">
      <c r="A3" s="37" t="s">
        <v>780</v>
      </c>
      <c r="B3" s="37" t="s">
        <v>777</v>
      </c>
      <c r="C3" s="28" t="s">
        <v>781</v>
      </c>
      <c r="D3" s="28"/>
      <c r="E3" s="40" t="n">
        <v>46326</v>
      </c>
      <c r="F3" s="30" t="n">
        <f aca="true">IF(OR(E3="",G3="Готово",G3="Вырезано"),"",E3-TODAY())</f>
        <v>1</v>
      </c>
      <c r="G3" s="37" t="s">
        <v>27</v>
      </c>
      <c r="H3" s="37" t="s">
        <v>99</v>
      </c>
      <c r="I3" s="28" t="s">
        <v>782</v>
      </c>
    </row>
    <row r="4" customFormat="false" ht="23.85" hidden="false" customHeight="false" outlineLevel="0" collapsed="false">
      <c r="A4" s="37" t="s">
        <v>783</v>
      </c>
      <c r="B4" s="37" t="s">
        <v>777</v>
      </c>
      <c r="C4" s="28" t="s">
        <v>784</v>
      </c>
      <c r="D4" s="28"/>
      <c r="E4" s="40" t="n">
        <v>46326</v>
      </c>
      <c r="F4" s="30" t="n">
        <f aca="true">IF(OR(E4="",G4="Готово",G4="Вырезано"),"",E4-TODAY())</f>
        <v>1</v>
      </c>
      <c r="G4" s="37" t="s">
        <v>27</v>
      </c>
      <c r="H4" s="37" t="s">
        <v>99</v>
      </c>
      <c r="I4" s="28" t="s">
        <v>785</v>
      </c>
    </row>
    <row r="5" customFormat="false" ht="15" hidden="false" customHeight="false" outlineLevel="0" collapsed="false">
      <c r="A5" s="37" t="s">
        <v>786</v>
      </c>
      <c r="B5" s="37" t="s">
        <v>777</v>
      </c>
      <c r="C5" s="28" t="s">
        <v>787</v>
      </c>
      <c r="D5" s="28"/>
      <c r="E5" s="40" t="n">
        <v>46327</v>
      </c>
      <c r="F5" s="30" t="n">
        <f aca="true">IF(OR(E5="",G5="Готово",G5="Вырезано"),"",E5-TODAY())</f>
        <v>2</v>
      </c>
      <c r="G5" s="37" t="s">
        <v>27</v>
      </c>
      <c r="H5" s="37" t="s">
        <v>108</v>
      </c>
      <c r="I5" s="28" t="s">
        <v>788</v>
      </c>
    </row>
    <row r="6" customFormat="false" ht="15" hidden="false" customHeight="false" outlineLevel="0" collapsed="false">
      <c r="A6" s="37" t="s">
        <v>789</v>
      </c>
      <c r="B6" s="37" t="s">
        <v>790</v>
      </c>
      <c r="C6" s="28" t="s">
        <v>791</v>
      </c>
      <c r="D6" s="28"/>
      <c r="E6" s="40" t="n">
        <v>46327</v>
      </c>
      <c r="F6" s="30" t="n">
        <f aca="true">IF(OR(E6="",G6="Готово",G6="Вырезано"),"",E6-TODAY())</f>
        <v>2</v>
      </c>
      <c r="G6" s="37" t="s">
        <v>27</v>
      </c>
      <c r="H6" s="37" t="s">
        <v>108</v>
      </c>
      <c r="I6" s="28"/>
    </row>
    <row r="7" customFormat="false" ht="15" hidden="false" customHeight="false" outlineLevel="0" collapsed="false">
      <c r="A7" s="37" t="s">
        <v>792</v>
      </c>
      <c r="B7" s="37" t="s">
        <v>790</v>
      </c>
      <c r="C7" s="28" t="s">
        <v>793</v>
      </c>
      <c r="D7" s="28"/>
      <c r="E7" s="40" t="n">
        <v>46327</v>
      </c>
      <c r="F7" s="30" t="n">
        <f aca="true">IF(OR(E7="",G7="Готово",G7="Вырезано"),"",E7-TODAY())</f>
        <v>2</v>
      </c>
      <c r="G7" s="37" t="s">
        <v>27</v>
      </c>
      <c r="H7" s="37" t="s">
        <v>99</v>
      </c>
      <c r="I7" s="28"/>
    </row>
    <row r="8" customFormat="false" ht="15" hidden="false" customHeight="false" outlineLevel="0" collapsed="false">
      <c r="A8" s="37" t="s">
        <v>794</v>
      </c>
      <c r="B8" s="37" t="s">
        <v>790</v>
      </c>
      <c r="C8" s="28" t="s">
        <v>795</v>
      </c>
      <c r="D8" s="28"/>
      <c r="E8" s="40" t="n">
        <v>46327</v>
      </c>
      <c r="F8" s="30" t="n">
        <f aca="true">IF(OR(E8="",G8="Готово",G8="Вырезано"),"",E8-TODAY())</f>
        <v>2</v>
      </c>
      <c r="G8" s="37" t="s">
        <v>27</v>
      </c>
      <c r="H8" s="37" t="s">
        <v>796</v>
      </c>
      <c r="I8" s="28"/>
    </row>
    <row r="9" customFormat="false" ht="23.85" hidden="false" customHeight="false" outlineLevel="0" collapsed="false">
      <c r="A9" s="37" t="s">
        <v>797</v>
      </c>
      <c r="B9" s="37" t="s">
        <v>790</v>
      </c>
      <c r="C9" s="28" t="s">
        <v>798</v>
      </c>
      <c r="D9" s="28"/>
      <c r="E9" s="40" t="n">
        <v>46328</v>
      </c>
      <c r="F9" s="30" t="n">
        <f aca="true">IF(OR(E9="",G9="Готово",G9="Вырезано"),"",E9-TODAY())</f>
        <v>3</v>
      </c>
      <c r="G9" s="37" t="s">
        <v>27</v>
      </c>
      <c r="H9" s="37" t="s">
        <v>99</v>
      </c>
      <c r="I9" s="28" t="s">
        <v>799</v>
      </c>
    </row>
    <row r="10" customFormat="false" ht="15" hidden="false" customHeight="false" outlineLevel="0" collapsed="false">
      <c r="A10" s="37" t="s">
        <v>800</v>
      </c>
      <c r="B10" s="37" t="s">
        <v>790</v>
      </c>
      <c r="C10" s="28" t="s">
        <v>801</v>
      </c>
      <c r="D10" s="28"/>
      <c r="E10" s="40" t="n">
        <v>46328</v>
      </c>
      <c r="F10" s="30" t="n">
        <f aca="true">IF(OR(E10="",G10="Готово",G10="Вырезано"),"",E10-TODAY())</f>
        <v>3</v>
      </c>
      <c r="G10" s="37" t="s">
        <v>27</v>
      </c>
      <c r="H10" s="37" t="s">
        <v>99</v>
      </c>
      <c r="I10" s="28"/>
    </row>
    <row r="11" customFormat="false" ht="23.85" hidden="false" customHeight="false" outlineLevel="0" collapsed="false">
      <c r="A11" s="37" t="s">
        <v>802</v>
      </c>
      <c r="B11" s="37" t="s">
        <v>790</v>
      </c>
      <c r="C11" s="28" t="s">
        <v>803</v>
      </c>
      <c r="D11" s="28"/>
      <c r="E11" s="40" t="n">
        <v>46329</v>
      </c>
      <c r="F11" s="30" t="n">
        <f aca="true">IF(OR(E11="",G11="Готово",G11="Вырезано"),"",E11-TODAY())</f>
        <v>4</v>
      </c>
      <c r="G11" s="37" t="s">
        <v>27</v>
      </c>
      <c r="H11" s="37" t="s">
        <v>99</v>
      </c>
      <c r="I11" s="28" t="s">
        <v>804</v>
      </c>
    </row>
    <row r="12" customFormat="false" ht="23.85" hidden="false" customHeight="false" outlineLevel="0" collapsed="false">
      <c r="A12" s="37" t="s">
        <v>805</v>
      </c>
      <c r="B12" s="37" t="s">
        <v>790</v>
      </c>
      <c r="C12" s="28" t="s">
        <v>806</v>
      </c>
      <c r="D12" s="28"/>
      <c r="E12" s="40" t="n">
        <v>46330</v>
      </c>
      <c r="F12" s="30" t="n">
        <f aca="true">IF(OR(E12="",G12="Готово",G12="Вырезано"),"",E12-TODAY())</f>
        <v>5</v>
      </c>
      <c r="G12" s="37" t="s">
        <v>27</v>
      </c>
      <c r="H12" s="37" t="s">
        <v>99</v>
      </c>
      <c r="I12" s="28"/>
    </row>
    <row r="13" customFormat="false" ht="23.85" hidden="false" customHeight="false" outlineLevel="0" collapsed="false">
      <c r="A13" s="37" t="s">
        <v>807</v>
      </c>
      <c r="B13" s="37" t="s">
        <v>790</v>
      </c>
      <c r="C13" s="28" t="s">
        <v>808</v>
      </c>
      <c r="D13" s="28"/>
      <c r="E13" s="40" t="n">
        <v>46331</v>
      </c>
      <c r="F13" s="30" t="n">
        <f aca="true">IF(OR(E13="",G13="Готово",G13="Вырезано"),"",E13-TODAY())</f>
        <v>6</v>
      </c>
      <c r="G13" s="37" t="s">
        <v>27</v>
      </c>
      <c r="H13" s="37" t="s">
        <v>108</v>
      </c>
      <c r="I13" s="28"/>
    </row>
    <row r="14" customFormat="false" ht="23.85" hidden="false" customHeight="false" outlineLevel="0" collapsed="false">
      <c r="A14" s="37" t="s">
        <v>809</v>
      </c>
      <c r="B14" s="37" t="s">
        <v>790</v>
      </c>
      <c r="C14" s="28" t="s">
        <v>810</v>
      </c>
      <c r="D14" s="28"/>
      <c r="E14" s="40" t="n">
        <v>46331</v>
      </c>
      <c r="F14" s="30" t="n">
        <f aca="true">IF(OR(E14="",G14="Готово",G14="Вырезано"),"",E14-TODAY())</f>
        <v>6</v>
      </c>
      <c r="G14" s="37" t="s">
        <v>27</v>
      </c>
      <c r="H14" s="37" t="s">
        <v>99</v>
      </c>
      <c r="I14" s="28" t="s">
        <v>811</v>
      </c>
    </row>
    <row r="15" customFormat="false" ht="15" hidden="false" customHeight="false" outlineLevel="0" collapsed="false">
      <c r="A15" s="37" t="s">
        <v>812</v>
      </c>
      <c r="B15" s="37" t="s">
        <v>47</v>
      </c>
      <c r="C15" s="28" t="s">
        <v>813</v>
      </c>
      <c r="D15" s="28"/>
      <c r="E15" s="40" t="n">
        <v>46334</v>
      </c>
      <c r="F15" s="30" t="n">
        <f aca="true">IF(OR(E15="",G15="Готово",G15="Вырезано"),"",E15-TODAY())</f>
        <v>9</v>
      </c>
      <c r="G15" s="37" t="s">
        <v>27</v>
      </c>
      <c r="H15" s="37" t="s">
        <v>99</v>
      </c>
      <c r="I15" s="28"/>
    </row>
    <row r="16" customFormat="false" ht="15" hidden="false" customHeight="false" outlineLevel="0" collapsed="false">
      <c r="A16" s="37" t="s">
        <v>814</v>
      </c>
      <c r="B16" s="37" t="s">
        <v>47</v>
      </c>
      <c r="C16" s="28" t="s">
        <v>815</v>
      </c>
      <c r="D16" s="28"/>
      <c r="E16" s="40" t="n">
        <v>46337</v>
      </c>
      <c r="F16" s="30" t="n">
        <f aca="true">IF(OR(E16="",G16="Готово",G16="Вырезано"),"",E16-TODAY())</f>
        <v>12</v>
      </c>
      <c r="G16" s="37" t="s">
        <v>27</v>
      </c>
      <c r="H16" s="37" t="s">
        <v>99</v>
      </c>
      <c r="I16" s="28"/>
    </row>
    <row r="17" customFormat="false" ht="15" hidden="false" customHeight="false" outlineLevel="0" collapsed="false">
      <c r="A17" s="37" t="s">
        <v>816</v>
      </c>
      <c r="B17" s="37" t="s">
        <v>47</v>
      </c>
      <c r="C17" s="28" t="s">
        <v>817</v>
      </c>
      <c r="D17" s="28"/>
      <c r="E17" s="40" t="n">
        <v>46340</v>
      </c>
      <c r="F17" s="30" t="n">
        <f aca="true">IF(OR(E17="",G17="Готово",G17="Вырезано"),"",E17-TODAY())</f>
        <v>15</v>
      </c>
      <c r="G17" s="37" t="s">
        <v>27</v>
      </c>
      <c r="H17" s="37" t="s">
        <v>99</v>
      </c>
      <c r="I17" s="28"/>
    </row>
    <row r="18" customFormat="false" ht="23.85" hidden="false" customHeight="false" outlineLevel="0" collapsed="false">
      <c r="A18" s="37" t="s">
        <v>818</v>
      </c>
      <c r="B18" s="37" t="s">
        <v>38</v>
      </c>
      <c r="C18" s="28" t="s">
        <v>819</v>
      </c>
      <c r="D18" s="28"/>
      <c r="E18" s="40" t="n">
        <v>46340</v>
      </c>
      <c r="F18" s="30" t="n">
        <f aca="true">IF(OR(E18="",G18="Готово",G18="Вырезано"),"",E18-TODAY())</f>
        <v>15</v>
      </c>
      <c r="G18" s="37" t="s">
        <v>27</v>
      </c>
      <c r="H18" s="37" t="s">
        <v>108</v>
      </c>
      <c r="I18" s="28"/>
    </row>
    <row r="19" customFormat="false" ht="15" hidden="false" customHeight="false" outlineLevel="0" collapsed="false">
      <c r="A19" s="37" t="s">
        <v>820</v>
      </c>
      <c r="B19" s="37" t="s">
        <v>821</v>
      </c>
      <c r="C19" s="28" t="s">
        <v>822</v>
      </c>
      <c r="D19" s="28"/>
      <c r="E19" s="40" t="n">
        <v>46341</v>
      </c>
      <c r="F19" s="30" t="n">
        <f aca="true">IF(OR(E19="",G19="Готово",G19="Вырезано"),"",E19-TODAY())</f>
        <v>16</v>
      </c>
      <c r="G19" s="37" t="s">
        <v>27</v>
      </c>
      <c r="H19" s="37" t="s">
        <v>99</v>
      </c>
      <c r="I19" s="28"/>
    </row>
    <row r="20" customFormat="false" ht="15" hidden="false" customHeight="false" outlineLevel="0" collapsed="false">
      <c r="A20" s="37" t="s">
        <v>823</v>
      </c>
      <c r="B20" s="37" t="s">
        <v>38</v>
      </c>
      <c r="C20" s="28" t="s">
        <v>824</v>
      </c>
      <c r="D20" s="28"/>
      <c r="E20" s="40" t="n">
        <v>46341</v>
      </c>
      <c r="F20" s="30" t="n">
        <f aca="true">IF(OR(E20="",G20="Готово",G20="Вырезано"),"",E20-TODAY())</f>
        <v>16</v>
      </c>
      <c r="G20" s="37" t="s">
        <v>27</v>
      </c>
      <c r="H20" s="37" t="s">
        <v>108</v>
      </c>
      <c r="I20" s="28"/>
    </row>
    <row r="21" customFormat="false" ht="15" hidden="false" customHeight="false" outlineLevel="0" collapsed="false">
      <c r="A21" s="37" t="s">
        <v>825</v>
      </c>
      <c r="B21" s="37" t="s">
        <v>38</v>
      </c>
      <c r="C21" s="28" t="s">
        <v>826</v>
      </c>
      <c r="D21" s="28"/>
      <c r="E21" s="40" t="n">
        <v>46342</v>
      </c>
      <c r="F21" s="30" t="n">
        <f aca="true">IF(OR(E21="",G21="Готово",G21="Вырезано"),"",E21-TODAY())</f>
        <v>17</v>
      </c>
      <c r="G21" s="37" t="s">
        <v>27</v>
      </c>
      <c r="H21" s="37" t="s">
        <v>108</v>
      </c>
      <c r="I21" s="28"/>
    </row>
    <row r="22" customFormat="false" ht="15" hidden="false" customHeight="false" outlineLevel="0" collapsed="false">
      <c r="A22" s="37" t="s">
        <v>827</v>
      </c>
      <c r="B22" s="37" t="s">
        <v>821</v>
      </c>
      <c r="C22" s="28" t="s">
        <v>828</v>
      </c>
      <c r="D22" s="28"/>
      <c r="E22" s="40" t="n">
        <v>46342</v>
      </c>
      <c r="F22" s="30" t="n">
        <f aca="true">IF(OR(E22="",G22="Готово",G22="Вырезано"),"",E22-TODAY())</f>
        <v>17</v>
      </c>
      <c r="G22" s="37" t="s">
        <v>27</v>
      </c>
      <c r="H22" s="37" t="s">
        <v>108</v>
      </c>
      <c r="I22" s="28"/>
    </row>
    <row r="23" customFormat="false" ht="23.85" hidden="false" customHeight="false" outlineLevel="0" collapsed="false">
      <c r="A23" s="37" t="s">
        <v>829</v>
      </c>
      <c r="B23" s="37" t="s">
        <v>821</v>
      </c>
      <c r="C23" s="28" t="s">
        <v>830</v>
      </c>
      <c r="D23" s="28"/>
      <c r="E23" s="40" t="n">
        <v>46343</v>
      </c>
      <c r="F23" s="30" t="n">
        <f aca="true">IF(OR(E23="",G23="Готово",G23="Вырезано"),"",E23-TODAY())</f>
        <v>18</v>
      </c>
      <c r="G23" s="37" t="s">
        <v>27</v>
      </c>
      <c r="H23" s="37" t="s">
        <v>99</v>
      </c>
      <c r="I23" s="28" t="s">
        <v>831</v>
      </c>
    </row>
    <row r="24" customFormat="false" ht="23.85" hidden="false" customHeight="false" outlineLevel="0" collapsed="false">
      <c r="A24" s="37" t="s">
        <v>832</v>
      </c>
      <c r="B24" s="37" t="s">
        <v>821</v>
      </c>
      <c r="C24" s="28" t="s">
        <v>833</v>
      </c>
      <c r="D24" s="28"/>
      <c r="E24" s="40" t="n">
        <v>46343</v>
      </c>
      <c r="F24" s="30" t="n">
        <f aca="true">IF(OR(E24="",G24="Готово",G24="Вырезано"),"",E24-TODAY())</f>
        <v>18</v>
      </c>
      <c r="G24" s="37" t="s">
        <v>27</v>
      </c>
      <c r="H24" s="37" t="s">
        <v>99</v>
      </c>
      <c r="I24" s="28" t="s">
        <v>834</v>
      </c>
    </row>
    <row r="25" customFormat="false" ht="15" hidden="false" customHeight="false" outlineLevel="0" collapsed="false">
      <c r="A25" s="37" t="s">
        <v>835</v>
      </c>
      <c r="B25" s="37" t="s">
        <v>821</v>
      </c>
      <c r="C25" s="28" t="s">
        <v>836</v>
      </c>
      <c r="D25" s="28"/>
      <c r="E25" s="40" t="n">
        <v>46343</v>
      </c>
      <c r="F25" s="30" t="n">
        <f aca="true">IF(OR(E25="",G25="Готово",G25="Вырезано"),"",E25-TODAY())</f>
        <v>18</v>
      </c>
      <c r="G25" s="37" t="s">
        <v>27</v>
      </c>
      <c r="H25" s="37" t="s">
        <v>99</v>
      </c>
      <c r="I25" s="28" t="s">
        <v>837</v>
      </c>
    </row>
    <row r="26" customFormat="false" ht="15" hidden="false" customHeight="false" outlineLevel="0" collapsed="false">
      <c r="A26" s="37" t="s">
        <v>838</v>
      </c>
      <c r="B26" s="37" t="s">
        <v>839</v>
      </c>
      <c r="C26" s="28" t="s">
        <v>840</v>
      </c>
      <c r="D26" s="28"/>
      <c r="E26" s="40" t="n">
        <v>46343</v>
      </c>
      <c r="F26" s="30" t="n">
        <f aca="true">IF(OR(E26="",G26="Готово",G26="Вырезано"),"",E26-TODAY())</f>
        <v>18</v>
      </c>
      <c r="G26" s="37" t="s">
        <v>27</v>
      </c>
      <c r="H26" s="37" t="s">
        <v>99</v>
      </c>
      <c r="I26" s="28"/>
    </row>
    <row r="27" customFormat="false" ht="23.85" hidden="false" customHeight="false" outlineLevel="0" collapsed="false">
      <c r="A27" s="37" t="s">
        <v>841</v>
      </c>
      <c r="B27" s="37" t="s">
        <v>839</v>
      </c>
      <c r="C27" s="28" t="s">
        <v>842</v>
      </c>
      <c r="D27" s="28"/>
      <c r="E27" s="40" t="n">
        <v>46344</v>
      </c>
      <c r="F27" s="30" t="n">
        <f aca="true">IF(OR(E27="",G27="Готово",G27="Вырезано"),"",E27-TODAY())</f>
        <v>19</v>
      </c>
      <c r="G27" s="37" t="s">
        <v>27</v>
      </c>
      <c r="H27" s="37" t="s">
        <v>99</v>
      </c>
      <c r="I27" s="28" t="s">
        <v>843</v>
      </c>
    </row>
    <row r="28" customFormat="false" ht="23.85" hidden="false" customHeight="false" outlineLevel="0" collapsed="false">
      <c r="A28" s="37" t="s">
        <v>844</v>
      </c>
      <c r="B28" s="37" t="s">
        <v>839</v>
      </c>
      <c r="C28" s="28" t="s">
        <v>845</v>
      </c>
      <c r="D28" s="28"/>
      <c r="E28" s="40" t="n">
        <v>46344</v>
      </c>
      <c r="F28" s="30" t="n">
        <f aca="true">IF(OR(E28="",G28="Готово",G28="Вырезано"),"",E28-TODAY())</f>
        <v>19</v>
      </c>
      <c r="G28" s="37" t="s">
        <v>27</v>
      </c>
      <c r="H28" s="37" t="s">
        <v>99</v>
      </c>
      <c r="I28" s="28" t="s">
        <v>846</v>
      </c>
    </row>
    <row r="29" customFormat="false" ht="23.85" hidden="false" customHeight="false" outlineLevel="0" collapsed="false">
      <c r="A29" s="37" t="s">
        <v>847</v>
      </c>
      <c r="B29" s="37" t="s">
        <v>839</v>
      </c>
      <c r="C29" s="28" t="s">
        <v>848</v>
      </c>
      <c r="D29" s="28"/>
      <c r="E29" s="40" t="n">
        <v>46344</v>
      </c>
      <c r="F29" s="30" t="n">
        <f aca="true">IF(OR(E29="",G29="Готово",G29="Вырезано"),"",E29-TODAY())</f>
        <v>19</v>
      </c>
      <c r="G29" s="37" t="s">
        <v>27</v>
      </c>
      <c r="H29" s="37" t="s">
        <v>99</v>
      </c>
      <c r="I29" s="28" t="s">
        <v>849</v>
      </c>
    </row>
    <row r="30" customFormat="false" ht="23.85" hidden="false" customHeight="false" outlineLevel="0" collapsed="false">
      <c r="A30" s="37" t="s">
        <v>850</v>
      </c>
      <c r="B30" s="37" t="s">
        <v>839</v>
      </c>
      <c r="C30" s="28" t="s">
        <v>851</v>
      </c>
      <c r="D30" s="28"/>
      <c r="E30" s="40" t="n">
        <v>46356</v>
      </c>
      <c r="F30" s="30" t="n">
        <f aca="true">IF(OR(E30="",G30="Готово",G30="Вырезано"),"",E30-TODAY())</f>
        <v>31</v>
      </c>
      <c r="G30" s="37" t="s">
        <v>27</v>
      </c>
      <c r="H30" s="37" t="s">
        <v>796</v>
      </c>
      <c r="I30" s="28" t="s">
        <v>852</v>
      </c>
    </row>
    <row r="31" customFormat="false" ht="15" hidden="false" customHeight="false" outlineLevel="0" collapsed="false">
      <c r="E31" s="33"/>
      <c r="F31" s="39" t="str">
        <f aca="true">IF(OR(E31="",G31="Готово",G31="Вырезано"),"",E31-TODAY())</f>
        <v/>
      </c>
    </row>
    <row r="32" customFormat="false" ht="15" hidden="false" customHeight="false" outlineLevel="0" collapsed="false">
      <c r="E32" s="33"/>
      <c r="F32" s="39" t="str">
        <f aca="true">IF(OR(E32="",G32="Готово",G32="Вырезано"),"",E32-TODAY())</f>
        <v/>
      </c>
    </row>
    <row r="33" customFormat="false" ht="15" hidden="false" customHeight="false" outlineLevel="0" collapsed="false">
      <c r="E33" s="33"/>
      <c r="F33" s="39" t="str">
        <f aca="true">IF(OR(E33="",G33="Готово",G33="Вырезано"),"",E33-TODAY())</f>
        <v/>
      </c>
    </row>
    <row r="34" customFormat="false" ht="15" hidden="false" customHeight="false" outlineLevel="0" collapsed="false">
      <c r="E34" s="33"/>
      <c r="F34" s="39" t="str">
        <f aca="true">IF(OR(E34="",G34="Готово",G34="Вырезано"),"",E34-TODAY())</f>
        <v/>
      </c>
    </row>
    <row r="35" customFormat="false" ht="15" hidden="false" customHeight="false" outlineLevel="0" collapsed="false">
      <c r="E35" s="33"/>
      <c r="F35" s="39" t="str">
        <f aca="true">IF(OR(E35="",G35="Готово",G35="Вырезано"),"",E35-TODAY())</f>
        <v/>
      </c>
    </row>
    <row r="36" customFormat="false" ht="15" hidden="false" customHeight="false" outlineLevel="0" collapsed="false">
      <c r="E36" s="33"/>
      <c r="F36" s="39" t="str">
        <f aca="true">IF(OR(E36="",G36="Готово",G36="Вырезано"),"",E36-TODAY())</f>
        <v/>
      </c>
    </row>
    <row r="37" customFormat="false" ht="15" hidden="false" customHeight="false" outlineLevel="0" collapsed="false">
      <c r="E37" s="33"/>
      <c r="F37" s="39" t="str">
        <f aca="true">IF(OR(E37="",G37="Готово",G37="Вырезано"),"",E37-TODAY())</f>
        <v/>
      </c>
    </row>
    <row r="38" customFormat="false" ht="15" hidden="false" customHeight="false" outlineLevel="0" collapsed="false">
      <c r="E38" s="33"/>
      <c r="F38" s="39" t="str">
        <f aca="true">IF(OR(E38="",G38="Готово",G38="Вырезано"),"",E38-TODAY())</f>
        <v/>
      </c>
    </row>
    <row r="39" customFormat="false" ht="15" hidden="false" customHeight="false" outlineLevel="0" collapsed="false">
      <c r="E39" s="33"/>
      <c r="F39" s="39" t="str">
        <f aca="true">IF(OR(E39="",G39="Готово",G39="Вырезано"),"",E39-TODAY())</f>
        <v/>
      </c>
    </row>
    <row r="40" customFormat="false" ht="15" hidden="false" customHeight="false" outlineLevel="0" collapsed="false">
      <c r="E40" s="33"/>
      <c r="F40" s="39" t="str">
        <f aca="true">IF(OR(E40="",G40="Готово",G40="Вырезано"),"",E40-TODAY())</f>
        <v/>
      </c>
    </row>
    <row r="41" customFormat="false" ht="15" hidden="false" customHeight="false" outlineLevel="0" collapsed="false">
      <c r="E41" s="33"/>
      <c r="F41" s="39" t="str">
        <f aca="true">IF(OR(E41="",G41="Готово",G41="Вырезано"),"",E41-TODAY())</f>
        <v/>
      </c>
    </row>
    <row r="42" customFormat="false" ht="15" hidden="false" customHeight="false" outlineLevel="0" collapsed="false">
      <c r="E42" s="33"/>
      <c r="F42" s="39" t="str">
        <f aca="true">IF(OR(E42="",G42="Готово",G42="Вырезано"),"",E42-TODAY())</f>
        <v/>
      </c>
    </row>
    <row r="43" customFormat="false" ht="15" hidden="false" customHeight="false" outlineLevel="0" collapsed="false">
      <c r="E43" s="33"/>
      <c r="F43" s="39" t="str">
        <f aca="true">IF(OR(E43="",G43="Готово",G43="Вырезано"),"",E43-TODAY())</f>
        <v/>
      </c>
    </row>
    <row r="44" customFormat="false" ht="15" hidden="false" customHeight="false" outlineLevel="0" collapsed="false">
      <c r="E44" s="33"/>
      <c r="F44" s="39" t="str">
        <f aca="true">IF(OR(E44="",G44="Готово",G44="Вырезано"),"",E44-TODAY())</f>
        <v/>
      </c>
    </row>
    <row r="45" customFormat="false" ht="15" hidden="false" customHeight="false" outlineLevel="0" collapsed="false">
      <c r="E45" s="33"/>
      <c r="F45" s="39" t="str">
        <f aca="true">IF(OR(E45="",G45="Готово",G45="Вырезано"),"",E45-TODAY())</f>
        <v/>
      </c>
    </row>
    <row r="46" customFormat="false" ht="15" hidden="false" customHeight="false" outlineLevel="0" collapsed="false">
      <c r="E46" s="33"/>
      <c r="F46" s="39" t="str">
        <f aca="true">IF(OR(E46="",G46="Готово",G46="Вырезано"),"",E46-TODAY())</f>
        <v/>
      </c>
    </row>
    <row r="47" customFormat="false" ht="15" hidden="false" customHeight="false" outlineLevel="0" collapsed="false">
      <c r="E47" s="33"/>
      <c r="F47" s="39" t="str">
        <f aca="true">IF(OR(E47="",G47="Готово",G47="Вырезано"),"",E47-TODAY())</f>
        <v/>
      </c>
    </row>
    <row r="48" customFormat="false" ht="15" hidden="false" customHeight="false" outlineLevel="0" collapsed="false">
      <c r="E48" s="33"/>
      <c r="F48" s="39" t="str">
        <f aca="true">IF(OR(E48="",G48="Готово",G48="Вырезано"),"",E48-TODAY())</f>
        <v/>
      </c>
    </row>
    <row r="49" customFormat="false" ht="15" hidden="false" customHeight="false" outlineLevel="0" collapsed="false">
      <c r="E49" s="33"/>
      <c r="F49" s="39" t="str">
        <f aca="true">IF(OR(E49="",G49="Готово",G49="Вырезано"),"",E49-TODAY())</f>
        <v/>
      </c>
    </row>
    <row r="50" customFormat="false" ht="15" hidden="false" customHeight="false" outlineLevel="0" collapsed="false">
      <c r="E50" s="33"/>
      <c r="F50" s="39" t="str">
        <f aca="true">IF(OR(E50="",G50="Готово",G50="Вырезано"),"",E50-TODAY())</f>
        <v/>
      </c>
    </row>
    <row r="51" customFormat="false" ht="15" hidden="false" customHeight="false" outlineLevel="0" collapsed="false">
      <c r="E51" s="33"/>
      <c r="F51" s="39" t="str">
        <f aca="true">IF(OR(E51="",G51="Готово",G51="Вырезано"),"",E51-TODAY())</f>
        <v/>
      </c>
    </row>
    <row r="52" customFormat="false" ht="15" hidden="false" customHeight="false" outlineLevel="0" collapsed="false">
      <c r="E52" s="33"/>
      <c r="F52" s="39" t="str">
        <f aca="true">IF(OR(E52="",G52="Готово",G52="Вырезано"),"",E52-TODAY())</f>
        <v/>
      </c>
    </row>
    <row r="53" customFormat="false" ht="15" hidden="false" customHeight="false" outlineLevel="0" collapsed="false">
      <c r="E53" s="33"/>
      <c r="F53" s="39" t="str">
        <f aca="true">IF(OR(E53="",G53="Готово",G53="Вырезано"),"",E53-TODAY())</f>
        <v/>
      </c>
    </row>
    <row r="54" customFormat="false" ht="15" hidden="false" customHeight="false" outlineLevel="0" collapsed="false">
      <c r="E54" s="33"/>
      <c r="F54" s="39" t="str">
        <f aca="true">IF(OR(E54="",G54="Готово",G54="Вырезано"),"",E54-TODAY())</f>
        <v/>
      </c>
    </row>
    <row r="55" customFormat="false" ht="15" hidden="false" customHeight="false" outlineLevel="0" collapsed="false">
      <c r="E55" s="33"/>
      <c r="F55" s="39" t="str">
        <f aca="true">IF(OR(E55="",G55="Готово",G55="Вырезано"),"",E55-TODAY())</f>
        <v/>
      </c>
    </row>
    <row r="56" customFormat="false" ht="15" hidden="false" customHeight="false" outlineLevel="0" collapsed="false">
      <c r="E56" s="33"/>
      <c r="F56" s="39" t="str">
        <f aca="true">IF(OR(E56="",G56="Готово",G56="Вырезано"),"",E56-TODAY())</f>
        <v/>
      </c>
    </row>
    <row r="57" customFormat="false" ht="15" hidden="false" customHeight="false" outlineLevel="0" collapsed="false">
      <c r="E57" s="33"/>
      <c r="F57" s="39" t="str">
        <f aca="true">IF(OR(E57="",G57="Готово",G57="Вырезано"),"",E57-TODAY())</f>
        <v/>
      </c>
    </row>
    <row r="58" customFormat="false" ht="15" hidden="false" customHeight="false" outlineLevel="0" collapsed="false">
      <c r="E58" s="33"/>
      <c r="F58" s="39" t="str">
        <f aca="true">IF(OR(E58="",G58="Готово",G58="Вырезано"),"",E58-TODAY())</f>
        <v/>
      </c>
    </row>
    <row r="59" customFormat="false" ht="15" hidden="false" customHeight="false" outlineLevel="0" collapsed="false">
      <c r="E59" s="33"/>
      <c r="F59" s="39" t="str">
        <f aca="true">IF(OR(E59="",G59="Готово",G59="Вырезано"),"",E59-TODAY())</f>
        <v/>
      </c>
    </row>
    <row r="60" customFormat="false" ht="15" hidden="false" customHeight="false" outlineLevel="0" collapsed="false">
      <c r="E60" s="33"/>
      <c r="F60" s="39" t="str">
        <f aca="true">IF(OR(E60="",G60="Готово",G60="Вырезано"),"",E60-TODAY())</f>
        <v/>
      </c>
    </row>
    <row r="61" customFormat="false" ht="15" hidden="false" customHeight="false" outlineLevel="0" collapsed="false">
      <c r="E61" s="33"/>
      <c r="F61" s="39" t="str">
        <f aca="true">IF(OR(E61="",G61="Готово",G61="Вырезано"),"",E61-TODAY())</f>
        <v/>
      </c>
    </row>
    <row r="62" customFormat="false" ht="15" hidden="false" customHeight="false" outlineLevel="0" collapsed="false">
      <c r="E62" s="33"/>
      <c r="F62" s="39" t="str">
        <f aca="true">IF(OR(E62="",G62="Готово",G62="Вырезано"),"",E62-TODAY())</f>
        <v/>
      </c>
    </row>
    <row r="63" customFormat="false" ht="15" hidden="false" customHeight="false" outlineLevel="0" collapsed="false">
      <c r="E63" s="33"/>
      <c r="F63" s="39" t="str">
        <f aca="true">IF(OR(E63="",G63="Готово",G63="Вырезано"),"",E63-TODAY())</f>
        <v/>
      </c>
    </row>
    <row r="64" customFormat="false" ht="15" hidden="false" customHeight="false" outlineLevel="0" collapsed="false">
      <c r="E64" s="33"/>
      <c r="F64" s="39" t="str">
        <f aca="true">IF(OR(E64="",G64="Готово",G64="Вырезано"),"",E64-TODAY())</f>
        <v/>
      </c>
    </row>
    <row r="65" customFormat="false" ht="15" hidden="false" customHeight="false" outlineLevel="0" collapsed="false">
      <c r="E65" s="33"/>
      <c r="F65" s="39" t="str">
        <f aca="true">IF(OR(E65="",G65="Готово",G65="Вырезано"),"",E65-TODAY())</f>
        <v/>
      </c>
    </row>
    <row r="66" customFormat="false" ht="15" hidden="false" customHeight="false" outlineLevel="0" collapsed="false">
      <c r="E66" s="33"/>
      <c r="F66" s="39" t="str">
        <f aca="true">IF(OR(E66="",G66="Готово",G66="Вырезано"),"",E66-TODAY())</f>
        <v/>
      </c>
    </row>
    <row r="67" customFormat="false" ht="15" hidden="false" customHeight="false" outlineLevel="0" collapsed="false">
      <c r="E67" s="33"/>
      <c r="F67" s="39" t="str">
        <f aca="true">IF(OR(E67="",G67="Готово",G67="Вырезано"),"",E67-TODAY())</f>
        <v/>
      </c>
    </row>
    <row r="68" customFormat="false" ht="15" hidden="false" customHeight="false" outlineLevel="0" collapsed="false">
      <c r="E68" s="33"/>
      <c r="F68" s="39" t="str">
        <f aca="true">IF(OR(E68="",G68="Готово",G68="Вырезано"),"",E68-TODAY())</f>
        <v/>
      </c>
    </row>
    <row r="69" customFormat="false" ht="15" hidden="false" customHeight="false" outlineLevel="0" collapsed="false">
      <c r="E69" s="33"/>
      <c r="F69" s="39" t="str">
        <f aca="true">IF(OR(E69="",G69="Готово",G69="Вырезано"),"",E69-TODAY())</f>
        <v/>
      </c>
    </row>
    <row r="70" customFormat="false" ht="15" hidden="false" customHeight="false" outlineLevel="0" collapsed="false">
      <c r="E70" s="33"/>
      <c r="F70" s="39" t="str">
        <f aca="true">IF(OR(E70="",G70="Готово",G70="Вырезано"),"",E70-TODAY())</f>
        <v/>
      </c>
    </row>
    <row r="71" customFormat="false" ht="15" hidden="false" customHeight="false" outlineLevel="0" collapsed="false">
      <c r="E71" s="33"/>
      <c r="F71" s="39" t="str">
        <f aca="true">IF(OR(E71="",G71="Готово",G71="Вырезано"),"",E71-TODAY())</f>
        <v/>
      </c>
    </row>
    <row r="72" customFormat="false" ht="15" hidden="false" customHeight="false" outlineLevel="0" collapsed="false">
      <c r="E72" s="33"/>
      <c r="F72" s="39" t="str">
        <f aca="true">IF(OR(E72="",G72="Готово",G72="Вырезано"),"",E72-TODAY())</f>
        <v/>
      </c>
    </row>
    <row r="73" customFormat="false" ht="15" hidden="false" customHeight="false" outlineLevel="0" collapsed="false">
      <c r="E73" s="33"/>
      <c r="F73" s="39" t="str">
        <f aca="true">IF(OR(E73="",G73="Готово",G73="Вырезано"),"",E73-TODAY())</f>
        <v/>
      </c>
    </row>
    <row r="74" customFormat="false" ht="15" hidden="false" customHeight="false" outlineLevel="0" collapsed="false">
      <c r="E74" s="33"/>
      <c r="F74" s="39" t="str">
        <f aca="true">IF(OR(E74="",G74="Готово",G74="Вырезано"),"",E74-TODAY())</f>
        <v/>
      </c>
    </row>
    <row r="75" customFormat="false" ht="15" hidden="false" customHeight="false" outlineLevel="0" collapsed="false">
      <c r="E75" s="33"/>
      <c r="F75" s="39" t="str">
        <f aca="true">IF(OR(E75="",G75="Готово",G75="Вырезано"),"",E75-TODAY())</f>
        <v/>
      </c>
    </row>
    <row r="76" customFormat="false" ht="15" hidden="false" customHeight="false" outlineLevel="0" collapsed="false">
      <c r="E76" s="33"/>
      <c r="F76" s="39" t="str">
        <f aca="true">IF(OR(E76="",G76="Готово",G76="Вырезано"),"",E76-TODAY())</f>
        <v/>
      </c>
    </row>
    <row r="77" customFormat="false" ht="15" hidden="false" customHeight="false" outlineLevel="0" collapsed="false">
      <c r="E77" s="33"/>
      <c r="F77" s="39" t="str">
        <f aca="true">IF(OR(E77="",G77="Готово",G77="Вырезано"),"",E77-TODAY())</f>
        <v/>
      </c>
    </row>
    <row r="78" customFormat="false" ht="15" hidden="false" customHeight="false" outlineLevel="0" collapsed="false">
      <c r="E78" s="33"/>
      <c r="F78" s="39" t="str">
        <f aca="true">IF(OR(E78="",G78="Готово",G78="Вырезано"),"",E78-TODAY())</f>
        <v/>
      </c>
    </row>
    <row r="79" customFormat="false" ht="15" hidden="false" customHeight="false" outlineLevel="0" collapsed="false">
      <c r="E79" s="33"/>
      <c r="F79" s="39" t="str">
        <f aca="true">IF(OR(E79="",G79="Готово",G79="Вырезано"),"",E79-TODAY())</f>
        <v/>
      </c>
    </row>
    <row r="80" customFormat="false" ht="15" hidden="false" customHeight="false" outlineLevel="0" collapsed="false">
      <c r="E80" s="33"/>
      <c r="F80" s="39" t="str">
        <f aca="true">IF(OR(E80="",G80="Готово",G80="Вырезано"),"",E80-TODAY())</f>
        <v/>
      </c>
    </row>
    <row r="81" customFormat="false" ht="15" hidden="false" customHeight="false" outlineLevel="0" collapsed="false">
      <c r="E81" s="33"/>
      <c r="F81" s="39" t="str">
        <f aca="true">IF(OR(E81="",G81="Готово",G81="Вырезано"),"",E81-TODAY())</f>
        <v/>
      </c>
    </row>
    <row r="82" customFormat="false" ht="15" hidden="false" customHeight="false" outlineLevel="0" collapsed="false">
      <c r="E82" s="33"/>
      <c r="F82" s="39" t="str">
        <f aca="true">IF(OR(E82="",G82="Готово",G82="Вырезано"),"",E82-TODAY())</f>
        <v/>
      </c>
    </row>
    <row r="83" customFormat="false" ht="15" hidden="false" customHeight="false" outlineLevel="0" collapsed="false">
      <c r="E83" s="33"/>
      <c r="F83" s="39" t="str">
        <f aca="true">IF(OR(E83="",G83="Готово",G83="Вырезано"),"",E83-TODAY())</f>
        <v/>
      </c>
    </row>
    <row r="84" customFormat="false" ht="15" hidden="false" customHeight="false" outlineLevel="0" collapsed="false">
      <c r="E84" s="33"/>
      <c r="F84" s="39" t="str">
        <f aca="true">IF(OR(E84="",G84="Готово",G84="Вырезано"),"",E84-TODAY())</f>
        <v/>
      </c>
    </row>
    <row r="85" customFormat="false" ht="15" hidden="false" customHeight="false" outlineLevel="0" collapsed="false">
      <c r="E85" s="33"/>
      <c r="F85" s="39" t="str">
        <f aca="true">IF(OR(E85="",G85="Готово",G85="Вырезано"),"",E85-TODAY())</f>
        <v/>
      </c>
    </row>
    <row r="86" customFormat="false" ht="15" hidden="false" customHeight="false" outlineLevel="0" collapsed="false">
      <c r="E86" s="33"/>
      <c r="F86" s="39" t="str">
        <f aca="true">IF(OR(E86="",G86="Готово",G86="Вырезано"),"",E86-TODAY())</f>
        <v/>
      </c>
    </row>
    <row r="87" customFormat="false" ht="15" hidden="false" customHeight="false" outlineLevel="0" collapsed="false">
      <c r="E87" s="33"/>
      <c r="F87" s="39" t="str">
        <f aca="true">IF(OR(E87="",G87="Готово",G87="Вырезано"),"",E87-TODAY())</f>
        <v/>
      </c>
    </row>
    <row r="88" customFormat="false" ht="15" hidden="false" customHeight="false" outlineLevel="0" collapsed="false">
      <c r="E88" s="33"/>
      <c r="F88" s="39" t="str">
        <f aca="true">IF(OR(E88="",G88="Готово",G88="Вырезано"),"",E88-TODAY())</f>
        <v/>
      </c>
    </row>
    <row r="89" customFormat="false" ht="15" hidden="false" customHeight="false" outlineLevel="0" collapsed="false">
      <c r="E89" s="33"/>
      <c r="F89" s="39" t="str">
        <f aca="true">IF(OR(E89="",G89="Готово",G89="Вырезано"),"",E89-TODAY())</f>
        <v/>
      </c>
    </row>
    <row r="90" customFormat="false" ht="15" hidden="false" customHeight="false" outlineLevel="0" collapsed="false">
      <c r="E90" s="33"/>
      <c r="F90" s="39" t="str">
        <f aca="true">IF(OR(E90="",G90="Готово",G90="Вырезано"),"",E90-TODAY())</f>
        <v/>
      </c>
    </row>
    <row r="91" customFormat="false" ht="15" hidden="false" customHeight="false" outlineLevel="0" collapsed="false">
      <c r="E91" s="33"/>
      <c r="F91" s="39" t="str">
        <f aca="true">IF(OR(E91="",G91="Готово",G91="Вырезано"),"",E91-TODAY())</f>
        <v/>
      </c>
    </row>
    <row r="92" customFormat="false" ht="15" hidden="false" customHeight="false" outlineLevel="0" collapsed="false">
      <c r="E92" s="33"/>
      <c r="F92" s="39" t="str">
        <f aca="true">IF(OR(E92="",G92="Готово",G92="Вырезано"),"",E92-TODAY())</f>
        <v/>
      </c>
    </row>
    <row r="93" customFormat="false" ht="15" hidden="false" customHeight="false" outlineLevel="0" collapsed="false">
      <c r="E93" s="33"/>
      <c r="F93" s="39" t="str">
        <f aca="true">IF(OR(E93="",G93="Готово",G93="Вырезано"),"",E93-TODAY())</f>
        <v/>
      </c>
    </row>
    <row r="94" customFormat="false" ht="15" hidden="false" customHeight="false" outlineLevel="0" collapsed="false">
      <c r="E94" s="33"/>
      <c r="F94" s="39" t="str">
        <f aca="true">IF(OR(E94="",G94="Готово",G94="Вырезано"),"",E94-TODAY())</f>
        <v/>
      </c>
    </row>
    <row r="95" customFormat="false" ht="15" hidden="false" customHeight="false" outlineLevel="0" collapsed="false">
      <c r="E95" s="33"/>
      <c r="F95" s="39" t="str">
        <f aca="true">IF(OR(E95="",G95="Готово",G95="Вырезано"),"",E95-TODAY())</f>
        <v/>
      </c>
    </row>
    <row r="96" customFormat="false" ht="15" hidden="false" customHeight="false" outlineLevel="0" collapsed="false">
      <c r="E96" s="33"/>
      <c r="F96" s="39" t="str">
        <f aca="true">IF(OR(E96="",G96="Готово",G96="Вырезано"),"",E96-TODAY())</f>
        <v/>
      </c>
    </row>
    <row r="97" customFormat="false" ht="15" hidden="false" customHeight="false" outlineLevel="0" collapsed="false">
      <c r="E97" s="33"/>
      <c r="F97" s="39" t="str">
        <f aca="true">IF(OR(E97="",G97="Готово",G97="Вырезано"),"",E97-TODAY())</f>
        <v/>
      </c>
    </row>
    <row r="98" customFormat="false" ht="15" hidden="false" customHeight="false" outlineLevel="0" collapsed="false">
      <c r="E98" s="33"/>
      <c r="F98" s="39" t="str">
        <f aca="true">IF(OR(E98="",G98="Готово",G98="Вырезано"),"",E98-TODAY())</f>
        <v/>
      </c>
    </row>
    <row r="99" customFormat="false" ht="15" hidden="false" customHeight="false" outlineLevel="0" collapsed="false">
      <c r="E99" s="33"/>
      <c r="F99" s="39" t="str">
        <f aca="true">IF(OR(E99="",G99="Готово",G99="Вырезано"),"",E99-TODAY())</f>
        <v/>
      </c>
    </row>
    <row r="100" customFormat="false" ht="15" hidden="false" customHeight="false" outlineLevel="0" collapsed="false">
      <c r="E100" s="33"/>
      <c r="F100" s="39" t="str">
        <f aca="true">IF(OR(E100="",G100="Готово",G100="Вырезано"),"",E100-TODAY())</f>
        <v/>
      </c>
    </row>
    <row r="101" customFormat="false" ht="15" hidden="false" customHeight="false" outlineLevel="0" collapsed="false">
      <c r="E101" s="33"/>
      <c r="F101" s="39" t="str">
        <f aca="true">IF(OR(E101="",G101="Готово",G101="Вырезано"),"",E101-TODAY())</f>
        <v/>
      </c>
    </row>
    <row r="102" customFormat="false" ht="15" hidden="false" customHeight="false" outlineLevel="0" collapsed="false">
      <c r="E102" s="33"/>
      <c r="F102" s="39" t="str">
        <f aca="true">IF(OR(E102="",G102="Готово",G102="Вырезано"),"",E102-TODAY())</f>
        <v/>
      </c>
    </row>
    <row r="103" customFormat="false" ht="15" hidden="false" customHeight="false" outlineLevel="0" collapsed="false">
      <c r="E103" s="33"/>
      <c r="F103" s="39" t="str">
        <f aca="true">IF(OR(E103="",G103="Готово",G103="Вырезано"),"",E103-TODAY())</f>
        <v/>
      </c>
    </row>
    <row r="104" customFormat="false" ht="15" hidden="false" customHeight="false" outlineLevel="0" collapsed="false">
      <c r="E104" s="33"/>
      <c r="F104" s="39" t="str">
        <f aca="true">IF(OR(E104="",G104="Готово",G104="Вырезано"),"",E104-TODAY())</f>
        <v/>
      </c>
    </row>
    <row r="105" customFormat="false" ht="15" hidden="false" customHeight="false" outlineLevel="0" collapsed="false">
      <c r="E105" s="33"/>
      <c r="F105" s="39" t="str">
        <f aca="true">IF(OR(E105="",G105="Готово",G105="Вырезано"),"",E105-TODAY())</f>
        <v/>
      </c>
    </row>
    <row r="106" customFormat="false" ht="15" hidden="false" customHeight="false" outlineLevel="0" collapsed="false">
      <c r="E106" s="33"/>
      <c r="F106" s="39" t="str">
        <f aca="true">IF(OR(E106="",G106="Готово",G106="Вырезано"),"",E106-TODAY())</f>
        <v/>
      </c>
    </row>
    <row r="107" customFormat="false" ht="15" hidden="false" customHeight="false" outlineLevel="0" collapsed="false">
      <c r="E107" s="33"/>
      <c r="F107" s="39" t="str">
        <f aca="true">IF(OR(E107="",G107="Готово",G107="Вырезано"),"",E107-TODAY())</f>
        <v/>
      </c>
    </row>
    <row r="108" customFormat="false" ht="15" hidden="false" customHeight="false" outlineLevel="0" collapsed="false">
      <c r="E108" s="33"/>
      <c r="F108" s="39" t="str">
        <f aca="true">IF(OR(E108="",G108="Готово",G108="Вырезано"),"",E108-TODAY())</f>
        <v/>
      </c>
    </row>
    <row r="109" customFormat="false" ht="15" hidden="false" customHeight="false" outlineLevel="0" collapsed="false">
      <c r="E109" s="33"/>
      <c r="F109" s="39" t="str">
        <f aca="true">IF(OR(E109="",G109="Готово",G109="Вырезано"),"",E109-TODAY())</f>
        <v/>
      </c>
    </row>
    <row r="110" customFormat="false" ht="15" hidden="false" customHeight="false" outlineLevel="0" collapsed="false">
      <c r="E110" s="33"/>
      <c r="F110" s="39" t="str">
        <f aca="true">IF(OR(E110="",G110="Готово",G110="Вырезано"),"",E110-TODAY())</f>
        <v/>
      </c>
    </row>
    <row r="111" customFormat="false" ht="15" hidden="false" customHeight="false" outlineLevel="0" collapsed="false">
      <c r="E111" s="33"/>
      <c r="F111" s="39" t="str">
        <f aca="true">IF(OR(E111="",G111="Готово",G111="Вырезано"),"",E111-TODAY())</f>
        <v/>
      </c>
    </row>
    <row r="112" customFormat="false" ht="15" hidden="false" customHeight="false" outlineLevel="0" collapsed="false">
      <c r="E112" s="33"/>
      <c r="F112" s="39" t="str">
        <f aca="true">IF(OR(E112="",G112="Готово",G112="Вырезано"),"",E112-TODAY())</f>
        <v/>
      </c>
    </row>
    <row r="113" customFormat="false" ht="15" hidden="false" customHeight="false" outlineLevel="0" collapsed="false">
      <c r="E113" s="33"/>
      <c r="F113" s="39" t="str">
        <f aca="true">IF(OR(E113="",G113="Готово",G113="Вырезано"),"",E113-TODAY())</f>
        <v/>
      </c>
    </row>
    <row r="114" customFormat="false" ht="15" hidden="false" customHeight="false" outlineLevel="0" collapsed="false">
      <c r="E114" s="33"/>
      <c r="F114" s="39" t="str">
        <f aca="true">IF(OR(E114="",G114="Готово",G114="Вырезано"),"",E114-TODAY())</f>
        <v/>
      </c>
    </row>
    <row r="115" customFormat="false" ht="15" hidden="false" customHeight="false" outlineLevel="0" collapsed="false">
      <c r="E115" s="33"/>
      <c r="F115" s="39" t="str">
        <f aca="true">IF(OR(E115="",G115="Готово",G115="Вырезано"),"",E115-TODAY())</f>
        <v/>
      </c>
    </row>
    <row r="116" customFormat="false" ht="15" hidden="false" customHeight="false" outlineLevel="0" collapsed="false">
      <c r="E116" s="33"/>
      <c r="F116" s="39" t="str">
        <f aca="true">IF(OR(E116="",G116="Готово",G116="Вырезано"),"",E116-TODAY())</f>
        <v/>
      </c>
    </row>
    <row r="117" customFormat="false" ht="15" hidden="false" customHeight="false" outlineLevel="0" collapsed="false">
      <c r="E117" s="33"/>
      <c r="F117" s="39" t="str">
        <f aca="true">IF(OR(E117="",G117="Готово",G117="Вырезано"),"",E117-TODAY())</f>
        <v/>
      </c>
    </row>
    <row r="118" customFormat="false" ht="15" hidden="false" customHeight="false" outlineLevel="0" collapsed="false">
      <c r="E118" s="33"/>
      <c r="F118" s="39" t="str">
        <f aca="true">IF(OR(E118="",G118="Готово",G118="Вырезано"),"",E118-TODAY())</f>
        <v/>
      </c>
    </row>
    <row r="119" customFormat="false" ht="15" hidden="false" customHeight="false" outlineLevel="0" collapsed="false">
      <c r="E119" s="33"/>
      <c r="F119" s="39" t="str">
        <f aca="true">IF(OR(E119="",G119="Готово",G119="Вырезано"),"",E119-TODAY())</f>
        <v/>
      </c>
    </row>
    <row r="120" customFormat="false" ht="15" hidden="false" customHeight="false" outlineLevel="0" collapsed="false">
      <c r="E120" s="33"/>
      <c r="F120" s="39" t="str">
        <f aca="true">IF(OR(E120="",G120="Готово",G120="Вырезано"),"",E120-TODAY())</f>
        <v/>
      </c>
    </row>
    <row r="121" customFormat="false" ht="15" hidden="false" customHeight="false" outlineLevel="0" collapsed="false">
      <c r="E121" s="33"/>
      <c r="F121" s="39" t="str">
        <f aca="true">IF(OR(E121="",G121="Готово",G121="Вырезано"),"",E121-TODAY())</f>
        <v/>
      </c>
    </row>
    <row r="122" customFormat="false" ht="15" hidden="false" customHeight="false" outlineLevel="0" collapsed="false">
      <c r="E122" s="33"/>
      <c r="F122" s="39" t="str">
        <f aca="true">IF(OR(E122="",G122="Готово",G122="Вырезано"),"",E122-TODAY())</f>
        <v/>
      </c>
    </row>
    <row r="123" customFormat="false" ht="15" hidden="false" customHeight="false" outlineLevel="0" collapsed="false">
      <c r="E123" s="33"/>
      <c r="F123" s="39" t="str">
        <f aca="true">IF(OR(E123="",G123="Готово",G123="Вырезано"),"",E123-TODAY())</f>
        <v/>
      </c>
    </row>
    <row r="124" customFormat="false" ht="15" hidden="false" customHeight="false" outlineLevel="0" collapsed="false">
      <c r="E124" s="33"/>
      <c r="F124" s="39" t="str">
        <f aca="true">IF(OR(E124="",G124="Готово",G124="Вырезано"),"",E124-TODAY())</f>
        <v/>
      </c>
    </row>
    <row r="125" customFormat="false" ht="15" hidden="false" customHeight="false" outlineLevel="0" collapsed="false">
      <c r="E125" s="33"/>
      <c r="F125" s="39" t="str">
        <f aca="true">IF(OR(E125="",G125="Готово",G125="Вырезано"),"",E125-TODAY())</f>
        <v/>
      </c>
    </row>
    <row r="126" customFormat="false" ht="15" hidden="false" customHeight="false" outlineLevel="0" collapsed="false">
      <c r="E126" s="33"/>
      <c r="F126" s="39" t="str">
        <f aca="true">IF(OR(E126="",G126="Готово",G126="Вырезано"),"",E126-TODAY())</f>
        <v/>
      </c>
    </row>
    <row r="127" customFormat="false" ht="15" hidden="false" customHeight="false" outlineLevel="0" collapsed="false">
      <c r="E127" s="33"/>
      <c r="F127" s="39" t="str">
        <f aca="true">IF(OR(E127="",G127="Готово",G127="Вырезано"),"",E127-TODAY())</f>
        <v/>
      </c>
    </row>
    <row r="128" customFormat="false" ht="15" hidden="false" customHeight="false" outlineLevel="0" collapsed="false">
      <c r="E128" s="33"/>
      <c r="F128" s="39" t="str">
        <f aca="true">IF(OR(E128="",G128="Готово",G128="Вырезано"),"",E128-TODAY())</f>
        <v/>
      </c>
    </row>
    <row r="129" customFormat="false" ht="15" hidden="false" customHeight="false" outlineLevel="0" collapsed="false">
      <c r="E129" s="33"/>
      <c r="F129" s="39" t="str">
        <f aca="true">IF(OR(E129="",G129="Готово",G129="Вырезано"),"",E129-TODAY())</f>
        <v/>
      </c>
    </row>
    <row r="130" customFormat="false" ht="15" hidden="false" customHeight="false" outlineLevel="0" collapsed="false">
      <c r="E130" s="33"/>
      <c r="F130" s="39" t="str">
        <f aca="true">IF(OR(E130="",G130="Готово",G130="Вырезано"),"",E130-TODAY())</f>
        <v/>
      </c>
    </row>
    <row r="131" customFormat="false" ht="15" hidden="false" customHeight="false" outlineLevel="0" collapsed="false">
      <c r="E131" s="33"/>
      <c r="F131" s="39" t="str">
        <f aca="true">IF(OR(E131="",G131="Готово",G131="Вырезано"),"",E131-TODAY())</f>
        <v/>
      </c>
    </row>
    <row r="132" customFormat="false" ht="15" hidden="false" customHeight="false" outlineLevel="0" collapsed="false">
      <c r="E132" s="33"/>
      <c r="F132" s="39" t="str">
        <f aca="true">IF(OR(E132="",G132="Готово",G132="Вырезано"),"",E132-TODAY())</f>
        <v/>
      </c>
    </row>
    <row r="133" customFormat="false" ht="15" hidden="false" customHeight="false" outlineLevel="0" collapsed="false">
      <c r="E133" s="33"/>
      <c r="F133" s="39" t="str">
        <f aca="true">IF(OR(E133="",G133="Готово",G133="Вырезано"),"",E133-TODAY())</f>
        <v/>
      </c>
    </row>
    <row r="134" customFormat="false" ht="15" hidden="false" customHeight="false" outlineLevel="0" collapsed="false">
      <c r="E134" s="33"/>
      <c r="F134" s="39" t="str">
        <f aca="true">IF(OR(E134="",G134="Готово",G134="Вырезано"),"",E134-TODAY())</f>
        <v/>
      </c>
    </row>
    <row r="135" customFormat="false" ht="15" hidden="false" customHeight="false" outlineLevel="0" collapsed="false">
      <c r="E135" s="33"/>
      <c r="F135" s="39" t="str">
        <f aca="true">IF(OR(E135="",G135="Готово",G135="Вырезано"),"",E135-TODAY())</f>
        <v/>
      </c>
    </row>
    <row r="136" customFormat="false" ht="15" hidden="false" customHeight="false" outlineLevel="0" collapsed="false">
      <c r="E136" s="33"/>
      <c r="F136" s="39" t="str">
        <f aca="true">IF(OR(E136="",G136="Готово",G136="Вырезано"),"",E136-TODAY())</f>
        <v/>
      </c>
    </row>
    <row r="137" customFormat="false" ht="15" hidden="false" customHeight="false" outlineLevel="0" collapsed="false">
      <c r="E137" s="33"/>
      <c r="F137" s="39" t="str">
        <f aca="true">IF(OR(E137="",G137="Готово",G137="Вырезано"),"",E137-TODAY())</f>
        <v/>
      </c>
    </row>
    <row r="138" customFormat="false" ht="15" hidden="false" customHeight="false" outlineLevel="0" collapsed="false">
      <c r="E138" s="33"/>
      <c r="F138" s="39" t="str">
        <f aca="true">IF(OR(E138="",G138="Готово",G138="Вырезано"),"",E138-TODAY())</f>
        <v/>
      </c>
    </row>
    <row r="139" customFormat="false" ht="15" hidden="false" customHeight="false" outlineLevel="0" collapsed="false">
      <c r="E139" s="33"/>
      <c r="F139" s="39" t="str">
        <f aca="true">IF(OR(E139="",G139="Готово",G139="Вырезано"),"",E139-TODAY())</f>
        <v/>
      </c>
    </row>
    <row r="140" customFormat="false" ht="15" hidden="false" customHeight="false" outlineLevel="0" collapsed="false">
      <c r="E140" s="33"/>
      <c r="F140" s="39" t="str">
        <f aca="true">IF(OR(E140="",G140="Готово",G140="Вырезано"),"",E140-TODAY())</f>
        <v/>
      </c>
    </row>
    <row r="141" customFormat="false" ht="15" hidden="false" customHeight="false" outlineLevel="0" collapsed="false">
      <c r="E141" s="33"/>
      <c r="F141" s="39" t="str">
        <f aca="true">IF(OR(E141="",G141="Готово",G141="Вырезано"),"",E141-TODAY())</f>
        <v/>
      </c>
    </row>
    <row r="142" customFormat="false" ht="15" hidden="false" customHeight="false" outlineLevel="0" collapsed="false">
      <c r="E142" s="33"/>
      <c r="F142" s="39" t="str">
        <f aca="true">IF(OR(E142="",G142="Готово",G142="Вырезано"),"",E142-TODAY())</f>
        <v/>
      </c>
    </row>
    <row r="143" customFormat="false" ht="15" hidden="false" customHeight="false" outlineLevel="0" collapsed="false">
      <c r="E143" s="33"/>
      <c r="F143" s="39" t="str">
        <f aca="true">IF(OR(E143="",G143="Готово",G143="Вырезано"),"",E143-TODAY())</f>
        <v/>
      </c>
    </row>
    <row r="144" customFormat="false" ht="15" hidden="false" customHeight="false" outlineLevel="0" collapsed="false">
      <c r="E144" s="33"/>
      <c r="F144" s="39" t="str">
        <f aca="true">IF(OR(E144="",G144="Готово",G144="Вырезано"),"",E144-TODAY())</f>
        <v/>
      </c>
    </row>
    <row r="145" customFormat="false" ht="15" hidden="false" customHeight="false" outlineLevel="0" collapsed="false">
      <c r="E145" s="33"/>
      <c r="F145" s="39" t="str">
        <f aca="true">IF(OR(E145="",G145="Готово",G145="Вырезано"),"",E145-TODAY())</f>
        <v/>
      </c>
    </row>
    <row r="146" customFormat="false" ht="15" hidden="false" customHeight="false" outlineLevel="0" collapsed="false">
      <c r="E146" s="33"/>
      <c r="F146" s="39" t="str">
        <f aca="true">IF(OR(E146="",G146="Готово",G146="Вырезано"),"",E146-TODAY())</f>
        <v/>
      </c>
    </row>
    <row r="147" customFormat="false" ht="15" hidden="false" customHeight="false" outlineLevel="0" collapsed="false">
      <c r="E147" s="33"/>
      <c r="F147" s="39" t="str">
        <f aca="true">IF(OR(E147="",G147="Готово",G147="Вырезано"),"",E147-TODAY())</f>
        <v/>
      </c>
    </row>
    <row r="148" customFormat="false" ht="15" hidden="false" customHeight="false" outlineLevel="0" collapsed="false">
      <c r="E148" s="33"/>
      <c r="F148" s="39" t="str">
        <f aca="true">IF(OR(E148="",G148="Готово",G148="Вырезано"),"",E148-TODAY())</f>
        <v/>
      </c>
    </row>
    <row r="149" customFormat="false" ht="15" hidden="false" customHeight="false" outlineLevel="0" collapsed="false">
      <c r="E149" s="33"/>
      <c r="F149" s="39" t="str">
        <f aca="true">IF(OR(E149="",G149="Готово",G149="Вырезано"),"",E149-TODAY())</f>
        <v/>
      </c>
    </row>
    <row r="150" customFormat="false" ht="15" hidden="false" customHeight="false" outlineLevel="0" collapsed="false">
      <c r="E150" s="33"/>
      <c r="F150" s="39" t="str">
        <f aca="true">IF(OR(E150="",G150="Готово",G150="Вырезано"),"",E150-TODAY())</f>
        <v/>
      </c>
    </row>
    <row r="151" customFormat="false" ht="15" hidden="false" customHeight="false" outlineLevel="0" collapsed="false">
      <c r="E151" s="33"/>
      <c r="F151" s="39" t="str">
        <f aca="true">IF(OR(E151="",G151="Готово",G151="Вырезано"),"",E151-TODAY())</f>
        <v/>
      </c>
    </row>
    <row r="152" customFormat="false" ht="15" hidden="false" customHeight="false" outlineLevel="0" collapsed="false">
      <c r="E152" s="33"/>
      <c r="F152" s="39" t="str">
        <f aca="true">IF(OR(E152="",G152="Готово",G152="Вырезано"),"",E152-TODAY())</f>
        <v/>
      </c>
    </row>
    <row r="153" customFormat="false" ht="15" hidden="false" customHeight="false" outlineLevel="0" collapsed="false">
      <c r="E153" s="33"/>
      <c r="F153" s="39" t="str">
        <f aca="true">IF(OR(E153="",G153="Готово",G153="Вырезано"),"",E153-TODAY())</f>
        <v/>
      </c>
    </row>
    <row r="154" customFormat="false" ht="15" hidden="false" customHeight="false" outlineLevel="0" collapsed="false">
      <c r="E154" s="33"/>
      <c r="F154" s="39" t="str">
        <f aca="true">IF(OR(E154="",G154="Готово",G154="Вырезано"),"",E154-TODAY())</f>
        <v/>
      </c>
    </row>
    <row r="155" customFormat="false" ht="15" hidden="false" customHeight="false" outlineLevel="0" collapsed="false">
      <c r="E155" s="33"/>
      <c r="F155" s="39" t="str">
        <f aca="true">IF(OR(E155="",G155="Готово",G155="Вырезано"),"",E155-TODAY())</f>
        <v/>
      </c>
    </row>
    <row r="156" customFormat="false" ht="15" hidden="false" customHeight="false" outlineLevel="0" collapsed="false">
      <c r="E156" s="33"/>
      <c r="F156" s="39" t="str">
        <f aca="true">IF(OR(E156="",G156="Готово",G156="Вырезано"),"",E156-TODAY())</f>
        <v/>
      </c>
    </row>
    <row r="157" customFormat="false" ht="15" hidden="false" customHeight="false" outlineLevel="0" collapsed="false">
      <c r="E157" s="33"/>
      <c r="F157" s="39" t="str">
        <f aca="true">IF(OR(E157="",G157="Готово",G157="Вырезано"),"",E157-TODAY())</f>
        <v/>
      </c>
    </row>
    <row r="158" customFormat="false" ht="15" hidden="false" customHeight="false" outlineLevel="0" collapsed="false">
      <c r="E158" s="33"/>
      <c r="F158" s="39" t="str">
        <f aca="true">IF(OR(E158="",G158="Готово",G158="Вырезано"),"",E158-TODAY())</f>
        <v/>
      </c>
    </row>
    <row r="159" customFormat="false" ht="15" hidden="false" customHeight="false" outlineLevel="0" collapsed="false">
      <c r="E159" s="33"/>
      <c r="F159" s="39" t="str">
        <f aca="true">IF(OR(E159="",G159="Готово",G159="Вырезано"),"",E159-TODAY())</f>
        <v/>
      </c>
    </row>
    <row r="160" customFormat="false" ht="15" hidden="false" customHeight="false" outlineLevel="0" collapsed="false">
      <c r="E160" s="33"/>
      <c r="F160" s="39" t="str">
        <f aca="true">IF(OR(E160="",G160="Готово",G160="Вырезано"),"",E160-TODAY())</f>
        <v/>
      </c>
    </row>
    <row r="161" customFormat="false" ht="15" hidden="false" customHeight="false" outlineLevel="0" collapsed="false">
      <c r="E161" s="33"/>
      <c r="F161" s="39" t="str">
        <f aca="true">IF(OR(E161="",G161="Готово",G161="Вырезано"),"",E161-TODAY())</f>
        <v/>
      </c>
    </row>
    <row r="162" customFormat="false" ht="15" hidden="false" customHeight="false" outlineLevel="0" collapsed="false">
      <c r="E162" s="33"/>
      <c r="F162" s="39" t="str">
        <f aca="true">IF(OR(E162="",G162="Готово",G162="Вырезано"),"",E162-TODAY())</f>
        <v/>
      </c>
    </row>
    <row r="163" customFormat="false" ht="15" hidden="false" customHeight="false" outlineLevel="0" collapsed="false">
      <c r="E163" s="33"/>
      <c r="F163" s="39" t="str">
        <f aca="true">IF(OR(E163="",G163="Готово",G163="Вырезано"),"",E163-TODAY())</f>
        <v/>
      </c>
    </row>
    <row r="164" customFormat="false" ht="15" hidden="false" customHeight="false" outlineLevel="0" collapsed="false">
      <c r="E164" s="33"/>
      <c r="F164" s="39" t="str">
        <f aca="true">IF(OR(E164="",G164="Готово",G164="Вырезано"),"",E164-TODAY())</f>
        <v/>
      </c>
    </row>
    <row r="165" customFormat="false" ht="15" hidden="false" customHeight="false" outlineLevel="0" collapsed="false">
      <c r="E165" s="33"/>
      <c r="F165" s="39" t="str">
        <f aca="true">IF(OR(E165="",G165="Готово",G165="Вырезано"),"",E165-TODAY())</f>
        <v/>
      </c>
    </row>
    <row r="166" customFormat="false" ht="15" hidden="false" customHeight="false" outlineLevel="0" collapsed="false">
      <c r="E166" s="33"/>
      <c r="F166" s="39" t="str">
        <f aca="true">IF(OR(E166="",G166="Готово",G166="Вырезано"),"",E166-TODAY())</f>
        <v/>
      </c>
    </row>
    <row r="167" customFormat="false" ht="15" hidden="false" customHeight="false" outlineLevel="0" collapsed="false">
      <c r="E167" s="33"/>
      <c r="F167" s="39" t="str">
        <f aca="true">IF(OR(E167="",G167="Готово",G167="Вырезано"),"",E167-TODAY())</f>
        <v/>
      </c>
    </row>
    <row r="168" customFormat="false" ht="15" hidden="false" customHeight="false" outlineLevel="0" collapsed="false">
      <c r="E168" s="33"/>
      <c r="F168" s="39" t="str">
        <f aca="true">IF(OR(E168="",G168="Готово",G168="Вырезано"),"",E168-TODAY())</f>
        <v/>
      </c>
    </row>
    <row r="169" customFormat="false" ht="15" hidden="false" customHeight="false" outlineLevel="0" collapsed="false">
      <c r="E169" s="33"/>
      <c r="F169" s="39" t="str">
        <f aca="true">IF(OR(E169="",G169="Готово",G169="Вырезано"),"",E169-TODAY())</f>
        <v/>
      </c>
    </row>
    <row r="170" customFormat="false" ht="15" hidden="false" customHeight="false" outlineLevel="0" collapsed="false">
      <c r="E170" s="33"/>
      <c r="F170" s="39" t="str">
        <f aca="true">IF(OR(E170="",G170="Готово",G170="Вырезано"),"",E170-TODAY())</f>
        <v/>
      </c>
    </row>
    <row r="171" customFormat="false" ht="15" hidden="false" customHeight="false" outlineLevel="0" collapsed="false">
      <c r="E171" s="33"/>
      <c r="F171" s="39" t="str">
        <f aca="true">IF(OR(E171="",G171="Готово",G171="Вырезано"),"",E171-TODAY())</f>
        <v/>
      </c>
    </row>
    <row r="172" customFormat="false" ht="15" hidden="false" customHeight="false" outlineLevel="0" collapsed="false">
      <c r="E172" s="33"/>
      <c r="F172" s="39" t="str">
        <f aca="true">IF(OR(E172="",G172="Готово",G172="Вырезано"),"",E172-TODAY())</f>
        <v/>
      </c>
    </row>
    <row r="173" customFormat="false" ht="15" hidden="false" customHeight="false" outlineLevel="0" collapsed="false">
      <c r="E173" s="33"/>
      <c r="F173" s="39" t="str">
        <f aca="true">IF(OR(E173="",G173="Готово",G173="Вырезано"),"",E173-TODAY())</f>
        <v/>
      </c>
    </row>
    <row r="174" customFormat="false" ht="15" hidden="false" customHeight="false" outlineLevel="0" collapsed="false">
      <c r="E174" s="33"/>
      <c r="F174" s="39" t="str">
        <f aca="true">IF(OR(E174="",G174="Готово",G174="Вырезано"),"",E174-TODAY())</f>
        <v/>
      </c>
    </row>
    <row r="175" customFormat="false" ht="15" hidden="false" customHeight="false" outlineLevel="0" collapsed="false">
      <c r="E175" s="33"/>
      <c r="F175" s="39" t="str">
        <f aca="true">IF(OR(E175="",G175="Готово",G175="Вырезано"),"",E175-TODAY())</f>
        <v/>
      </c>
    </row>
    <row r="176" customFormat="false" ht="15" hidden="false" customHeight="false" outlineLevel="0" collapsed="false">
      <c r="E176" s="33"/>
      <c r="F176" s="39" t="str">
        <f aca="true">IF(OR(E176="",G176="Готово",G176="Вырезано"),"",E176-TODAY())</f>
        <v/>
      </c>
    </row>
    <row r="177" customFormat="false" ht="15" hidden="false" customHeight="false" outlineLevel="0" collapsed="false">
      <c r="E177" s="33"/>
      <c r="F177" s="39" t="str">
        <f aca="true">IF(OR(E177="",G177="Готово",G177="Вырезано"),"",E177-TODAY())</f>
        <v/>
      </c>
    </row>
    <row r="178" customFormat="false" ht="15" hidden="false" customHeight="false" outlineLevel="0" collapsed="false">
      <c r="E178" s="33"/>
      <c r="F178" s="39" t="str">
        <f aca="true">IF(OR(E178="",G178="Готово",G178="Вырезано"),"",E178-TODAY())</f>
        <v/>
      </c>
    </row>
    <row r="179" customFormat="false" ht="15" hidden="false" customHeight="false" outlineLevel="0" collapsed="false">
      <c r="E179" s="33"/>
      <c r="F179" s="39" t="str">
        <f aca="true">IF(OR(E179="",G179="Готово",G179="Вырезано"),"",E179-TODAY())</f>
        <v/>
      </c>
    </row>
    <row r="180" customFormat="false" ht="15" hidden="false" customHeight="false" outlineLevel="0" collapsed="false">
      <c r="E180" s="33"/>
      <c r="F180" s="39" t="str">
        <f aca="true">IF(OR(E180="",G180="Готово",G180="Вырезано"),"",E180-TODAY())</f>
        <v/>
      </c>
    </row>
    <row r="181" customFormat="false" ht="15" hidden="false" customHeight="false" outlineLevel="0" collapsed="false">
      <c r="E181" s="33"/>
      <c r="F181" s="39" t="str">
        <f aca="true">IF(OR(E181="",G181="Готово",G181="Вырезано"),"",E181-TODAY())</f>
        <v/>
      </c>
    </row>
    <row r="182" customFormat="false" ht="15" hidden="false" customHeight="false" outlineLevel="0" collapsed="false">
      <c r="E182" s="33"/>
      <c r="F182" s="39" t="str">
        <f aca="true">IF(OR(E182="",G182="Готово",G182="Вырезано"),"",E182-TODAY())</f>
        <v/>
      </c>
    </row>
    <row r="183" customFormat="false" ht="15" hidden="false" customHeight="false" outlineLevel="0" collapsed="false">
      <c r="E183" s="33"/>
      <c r="F183" s="39" t="str">
        <f aca="true">IF(OR(E183="",G183="Готово",G183="Вырезано"),"",E183-TODAY())</f>
        <v/>
      </c>
    </row>
    <row r="184" customFormat="false" ht="15" hidden="false" customHeight="false" outlineLevel="0" collapsed="false">
      <c r="E184" s="33"/>
      <c r="F184" s="39" t="str">
        <f aca="true">IF(OR(E184="",G184="Готово",G184="Вырезано"),"",E184-TODAY())</f>
        <v/>
      </c>
    </row>
    <row r="185" customFormat="false" ht="15" hidden="false" customHeight="false" outlineLevel="0" collapsed="false">
      <c r="E185" s="33"/>
      <c r="F185" s="39" t="str">
        <f aca="true">IF(OR(E185="",G185="Готово",G185="Вырезано"),"",E185-TODAY())</f>
        <v/>
      </c>
    </row>
    <row r="186" customFormat="false" ht="15" hidden="false" customHeight="false" outlineLevel="0" collapsed="false">
      <c r="E186" s="33"/>
      <c r="F186" s="39" t="str">
        <f aca="true">IF(OR(E186="",G186="Готово",G186="Вырезано"),"",E186-TODAY())</f>
        <v/>
      </c>
    </row>
    <row r="187" customFormat="false" ht="15" hidden="false" customHeight="false" outlineLevel="0" collapsed="false">
      <c r="E187" s="33"/>
      <c r="F187" s="39" t="str">
        <f aca="true">IF(OR(E187="",G187="Готово",G187="Вырезано"),"",E187-TODAY())</f>
        <v/>
      </c>
    </row>
    <row r="188" customFormat="false" ht="15" hidden="false" customHeight="false" outlineLevel="0" collapsed="false">
      <c r="E188" s="33"/>
      <c r="F188" s="39" t="str">
        <f aca="true">IF(OR(E188="",G188="Готово",G188="Вырезано"),"",E188-TODAY())</f>
        <v/>
      </c>
    </row>
    <row r="189" customFormat="false" ht="15" hidden="false" customHeight="false" outlineLevel="0" collapsed="false">
      <c r="E189" s="33"/>
      <c r="F189" s="39" t="str">
        <f aca="true">IF(OR(E189="",G189="Готово",G189="Вырезано"),"",E189-TODAY())</f>
        <v/>
      </c>
    </row>
    <row r="190" customFormat="false" ht="15" hidden="false" customHeight="false" outlineLevel="0" collapsed="false">
      <c r="E190" s="33"/>
      <c r="F190" s="39" t="str">
        <f aca="true">IF(OR(E190="",G190="Готово",G190="Вырезано"),"",E190-TODAY())</f>
        <v/>
      </c>
    </row>
    <row r="191" customFormat="false" ht="15" hidden="false" customHeight="false" outlineLevel="0" collapsed="false">
      <c r="E191" s="33"/>
      <c r="F191" s="39" t="str">
        <f aca="true">IF(OR(E191="",G191="Готово",G191="Вырезано"),"",E191-TODAY())</f>
        <v/>
      </c>
    </row>
    <row r="192" customFormat="false" ht="15" hidden="false" customHeight="false" outlineLevel="0" collapsed="false">
      <c r="E192" s="33"/>
      <c r="F192" s="39" t="str">
        <f aca="true">IF(OR(E192="",G192="Готово",G192="Вырезано"),"",E192-TODAY())</f>
        <v/>
      </c>
    </row>
    <row r="193" customFormat="false" ht="15" hidden="false" customHeight="false" outlineLevel="0" collapsed="false">
      <c r="E193" s="33"/>
      <c r="F193" s="39" t="str">
        <f aca="true">IF(OR(E193="",G193="Готово",G193="Вырезано"),"",E193-TODAY())</f>
        <v/>
      </c>
    </row>
    <row r="194" customFormat="false" ht="15" hidden="false" customHeight="false" outlineLevel="0" collapsed="false">
      <c r="E194" s="33"/>
      <c r="F194" s="39" t="str">
        <f aca="true">IF(OR(E194="",G194="Готово",G194="Вырезано"),"",E194-TODAY())</f>
        <v/>
      </c>
    </row>
    <row r="195" customFormat="false" ht="15" hidden="false" customHeight="false" outlineLevel="0" collapsed="false">
      <c r="E195" s="33"/>
      <c r="F195" s="39" t="str">
        <f aca="true">IF(OR(E195="",G195="Готово",G195="Вырезано"),"",E195-TODAY())</f>
        <v/>
      </c>
    </row>
    <row r="196" customFormat="false" ht="15" hidden="false" customHeight="false" outlineLevel="0" collapsed="false">
      <c r="E196" s="33"/>
      <c r="F196" s="39" t="str">
        <f aca="true">IF(OR(E196="",G196="Готово",G196="Вырезано"),"",E196-TODAY())</f>
        <v/>
      </c>
    </row>
    <row r="197" customFormat="false" ht="15" hidden="false" customHeight="false" outlineLevel="0" collapsed="false">
      <c r="E197" s="33"/>
      <c r="F197" s="39" t="str">
        <f aca="true">IF(OR(E197="",G197="Готово",G197="Вырезано"),"",E197-TODAY())</f>
        <v/>
      </c>
    </row>
    <row r="198" customFormat="false" ht="15" hidden="false" customHeight="false" outlineLevel="0" collapsed="false">
      <c r="E198" s="33"/>
      <c r="F198" s="39" t="str">
        <f aca="true">IF(OR(E198="",G198="Готово",G198="Вырезано"),"",E198-TODAY())</f>
        <v/>
      </c>
    </row>
    <row r="199" customFormat="false" ht="15" hidden="false" customHeight="false" outlineLevel="0" collapsed="false">
      <c r="E199" s="33"/>
      <c r="F199" s="39" t="str">
        <f aca="true">IF(OR(E199="",G199="Готово",G199="Вырезано"),"",E199-TODAY())</f>
        <v/>
      </c>
    </row>
    <row r="200" customFormat="false" ht="15" hidden="false" customHeight="false" outlineLevel="0" collapsed="false">
      <c r="E200" s="33"/>
      <c r="F200" s="39" t="str">
        <f aca="true">IF(OR(E200="",G200="Готово",G200="Вырезано"),"",E200-TODAY())</f>
        <v/>
      </c>
    </row>
    <row r="201" customFormat="false" ht="15" hidden="false" customHeight="false" outlineLevel="0" collapsed="false">
      <c r="E201" s="33"/>
    </row>
    <row r="202" customFormat="false" ht="15" hidden="false" customHeight="false" outlineLevel="0" collapsed="false">
      <c r="E202" s="33"/>
    </row>
    <row r="203" customFormat="false" ht="15" hidden="false" customHeight="false" outlineLevel="0" collapsed="false">
      <c r="E203" s="33"/>
    </row>
    <row r="204" customFormat="false" ht="15" hidden="false" customHeight="false" outlineLevel="0" collapsed="false">
      <c r="E204" s="33"/>
    </row>
    <row r="205" customFormat="false" ht="15" hidden="false" customHeight="false" outlineLevel="0" collapsed="false">
      <c r="E205" s="33"/>
    </row>
    <row r="206" customFormat="false" ht="15" hidden="false" customHeight="false" outlineLevel="0" collapsed="false">
      <c r="E206" s="33"/>
    </row>
    <row r="207" customFormat="false" ht="15" hidden="false" customHeight="false" outlineLevel="0" collapsed="false">
      <c r="E207" s="33"/>
    </row>
    <row r="208" customFormat="false" ht="15" hidden="false" customHeight="false" outlineLevel="0" collapsed="false">
      <c r="E208" s="33"/>
    </row>
    <row r="209" customFormat="false" ht="15" hidden="false" customHeight="false" outlineLevel="0" collapsed="false">
      <c r="E209" s="33"/>
    </row>
    <row r="210" customFormat="false" ht="15" hidden="false" customHeight="false" outlineLevel="0" collapsed="false">
      <c r="E210" s="33"/>
    </row>
    <row r="211" customFormat="false" ht="15" hidden="false" customHeight="false" outlineLevel="0" collapsed="false">
      <c r="E211" s="33"/>
    </row>
    <row r="212" customFormat="false" ht="15" hidden="false" customHeight="false" outlineLevel="0" collapsed="false">
      <c r="E212" s="33"/>
    </row>
    <row r="213" customFormat="false" ht="15" hidden="false" customHeight="false" outlineLevel="0" collapsed="false">
      <c r="E213" s="33"/>
    </row>
    <row r="214" customFormat="false" ht="15" hidden="false" customHeight="false" outlineLevel="0" collapsed="false">
      <c r="E214" s="33"/>
    </row>
    <row r="215" customFormat="false" ht="15" hidden="false" customHeight="false" outlineLevel="0" collapsed="false">
      <c r="E215" s="33"/>
    </row>
    <row r="216" customFormat="false" ht="15" hidden="false" customHeight="false" outlineLevel="0" collapsed="false">
      <c r="E216" s="33"/>
    </row>
    <row r="217" customFormat="false" ht="15" hidden="false" customHeight="false" outlineLevel="0" collapsed="false">
      <c r="E217" s="33"/>
    </row>
    <row r="218" customFormat="false" ht="15" hidden="false" customHeight="false" outlineLevel="0" collapsed="false">
      <c r="E218" s="33"/>
    </row>
    <row r="219" customFormat="false" ht="15" hidden="false" customHeight="false" outlineLevel="0" collapsed="false">
      <c r="E219" s="33"/>
    </row>
    <row r="220" customFormat="false" ht="15" hidden="false" customHeight="false" outlineLevel="0" collapsed="false">
      <c r="E220" s="33"/>
    </row>
    <row r="221" customFormat="false" ht="15" hidden="false" customHeight="false" outlineLevel="0" collapsed="false">
      <c r="E221" s="33"/>
    </row>
    <row r="222" customFormat="false" ht="15" hidden="false" customHeight="false" outlineLevel="0" collapsed="false">
      <c r="E222" s="33"/>
    </row>
    <row r="223" customFormat="false" ht="15" hidden="false" customHeight="false" outlineLevel="0" collapsed="false">
      <c r="E223" s="33"/>
    </row>
    <row r="224" customFormat="false" ht="15" hidden="false" customHeight="false" outlineLevel="0" collapsed="false">
      <c r="E224" s="33"/>
    </row>
    <row r="225" customFormat="false" ht="15" hidden="false" customHeight="false" outlineLevel="0" collapsed="false">
      <c r="E225" s="33"/>
    </row>
    <row r="226" customFormat="false" ht="15" hidden="false" customHeight="false" outlineLevel="0" collapsed="false">
      <c r="E226" s="33"/>
    </row>
    <row r="227" customFormat="false" ht="15" hidden="false" customHeight="false" outlineLevel="0" collapsed="false">
      <c r="E227" s="33"/>
    </row>
    <row r="228" customFormat="false" ht="15" hidden="false" customHeight="false" outlineLevel="0" collapsed="false">
      <c r="E228" s="33"/>
    </row>
    <row r="229" customFormat="false" ht="15" hidden="false" customHeight="false" outlineLevel="0" collapsed="false">
      <c r="E229" s="33"/>
    </row>
    <row r="230" customFormat="false" ht="15" hidden="false" customHeight="false" outlineLevel="0" collapsed="false">
      <c r="E230" s="33"/>
    </row>
    <row r="231" customFormat="false" ht="15" hidden="false" customHeight="false" outlineLevel="0" collapsed="false">
      <c r="E231" s="33"/>
    </row>
    <row r="232" customFormat="false" ht="15" hidden="false" customHeight="false" outlineLevel="0" collapsed="false">
      <c r="E232" s="33"/>
    </row>
    <row r="233" customFormat="false" ht="15" hidden="false" customHeight="false" outlineLevel="0" collapsed="false">
      <c r="E233" s="33"/>
    </row>
    <row r="234" customFormat="false" ht="15" hidden="false" customHeight="false" outlineLevel="0" collapsed="false">
      <c r="E234" s="33"/>
    </row>
    <row r="235" customFormat="false" ht="15" hidden="false" customHeight="false" outlineLevel="0" collapsed="false">
      <c r="E235" s="33"/>
    </row>
    <row r="236" customFormat="false" ht="15" hidden="false" customHeight="false" outlineLevel="0" collapsed="false">
      <c r="E236" s="33"/>
    </row>
    <row r="237" customFormat="false" ht="15" hidden="false" customHeight="false" outlineLevel="0" collapsed="false">
      <c r="E237" s="33"/>
    </row>
    <row r="238" customFormat="false" ht="15" hidden="false" customHeight="false" outlineLevel="0" collapsed="false">
      <c r="E238" s="33"/>
    </row>
    <row r="239" customFormat="false" ht="15" hidden="false" customHeight="false" outlineLevel="0" collapsed="false">
      <c r="E239" s="33"/>
    </row>
    <row r="240" customFormat="false" ht="15" hidden="false" customHeight="false" outlineLevel="0" collapsed="false">
      <c r="E240" s="33"/>
    </row>
    <row r="241" customFormat="false" ht="15" hidden="false" customHeight="false" outlineLevel="0" collapsed="false">
      <c r="E241" s="33"/>
    </row>
    <row r="242" customFormat="false" ht="15" hidden="false" customHeight="false" outlineLevel="0" collapsed="false">
      <c r="E242" s="33"/>
    </row>
    <row r="243" customFormat="false" ht="15" hidden="false" customHeight="false" outlineLevel="0" collapsed="false">
      <c r="E243" s="33"/>
    </row>
    <row r="244" customFormat="false" ht="15" hidden="false" customHeight="false" outlineLevel="0" collapsed="false">
      <c r="E244" s="33"/>
    </row>
    <row r="245" customFormat="false" ht="15" hidden="false" customHeight="false" outlineLevel="0" collapsed="false">
      <c r="E245" s="33"/>
    </row>
    <row r="246" customFormat="false" ht="15" hidden="false" customHeight="false" outlineLevel="0" collapsed="false">
      <c r="E246" s="33"/>
    </row>
    <row r="247" customFormat="false" ht="15" hidden="false" customHeight="false" outlineLevel="0" collapsed="false">
      <c r="E247" s="33"/>
    </row>
    <row r="248" customFormat="false" ht="15" hidden="false" customHeight="false" outlineLevel="0" collapsed="false">
      <c r="E248" s="33"/>
    </row>
    <row r="249" customFormat="false" ht="15" hidden="false" customHeight="false" outlineLevel="0" collapsed="false">
      <c r="E249" s="33"/>
    </row>
    <row r="250" customFormat="false" ht="15" hidden="false" customHeight="false" outlineLevel="0" collapsed="false">
      <c r="E250" s="33"/>
    </row>
    <row r="251" customFormat="false" ht="15" hidden="false" customHeight="false" outlineLevel="0" collapsed="false">
      <c r="E251" s="33"/>
    </row>
    <row r="252" customFormat="false" ht="15" hidden="false" customHeight="false" outlineLevel="0" collapsed="false">
      <c r="E252" s="33"/>
    </row>
    <row r="253" customFormat="false" ht="15" hidden="false" customHeight="false" outlineLevel="0" collapsed="false">
      <c r="E253" s="33"/>
    </row>
    <row r="254" customFormat="false" ht="15" hidden="false" customHeight="false" outlineLevel="0" collapsed="false">
      <c r="E254" s="33"/>
    </row>
    <row r="255" customFormat="false" ht="15" hidden="false" customHeight="false" outlineLevel="0" collapsed="false">
      <c r="E255" s="33"/>
    </row>
    <row r="256" customFormat="false" ht="15" hidden="false" customHeight="false" outlineLevel="0" collapsed="false">
      <c r="E256" s="33"/>
    </row>
    <row r="257" customFormat="false" ht="15" hidden="false" customHeight="false" outlineLevel="0" collapsed="false">
      <c r="E257" s="33"/>
    </row>
    <row r="258" customFormat="false" ht="15" hidden="false" customHeight="false" outlineLevel="0" collapsed="false">
      <c r="E258" s="33"/>
    </row>
    <row r="259" customFormat="false" ht="15" hidden="false" customHeight="false" outlineLevel="0" collapsed="false">
      <c r="E259" s="33"/>
    </row>
    <row r="260" customFormat="false" ht="15" hidden="false" customHeight="false" outlineLevel="0" collapsed="false">
      <c r="E260" s="33"/>
    </row>
    <row r="261" customFormat="false" ht="15" hidden="false" customHeight="false" outlineLevel="0" collapsed="false">
      <c r="E261" s="33"/>
    </row>
    <row r="262" customFormat="false" ht="15" hidden="false" customHeight="false" outlineLevel="0" collapsed="false">
      <c r="E262" s="33"/>
    </row>
    <row r="263" customFormat="false" ht="15" hidden="false" customHeight="false" outlineLevel="0" collapsed="false">
      <c r="E263" s="33"/>
    </row>
    <row r="264" customFormat="false" ht="15" hidden="false" customHeight="false" outlineLevel="0" collapsed="false">
      <c r="E264" s="33"/>
    </row>
    <row r="265" customFormat="false" ht="15" hidden="false" customHeight="false" outlineLevel="0" collapsed="false">
      <c r="E265" s="33"/>
    </row>
    <row r="266" customFormat="false" ht="15" hidden="false" customHeight="false" outlineLevel="0" collapsed="false">
      <c r="E266" s="33"/>
    </row>
    <row r="267" customFormat="false" ht="15" hidden="false" customHeight="false" outlineLevel="0" collapsed="false">
      <c r="E267" s="33"/>
    </row>
    <row r="268" customFormat="false" ht="15" hidden="false" customHeight="false" outlineLevel="0" collapsed="false">
      <c r="E268" s="33"/>
    </row>
    <row r="269" customFormat="false" ht="15" hidden="false" customHeight="false" outlineLevel="0" collapsed="false">
      <c r="E269" s="33"/>
    </row>
    <row r="270" customFormat="false" ht="15" hidden="false" customHeight="false" outlineLevel="0" collapsed="false">
      <c r="E270" s="33"/>
    </row>
    <row r="271" customFormat="false" ht="15" hidden="false" customHeight="false" outlineLevel="0" collapsed="false">
      <c r="E271" s="33"/>
    </row>
    <row r="272" customFormat="false" ht="15" hidden="false" customHeight="false" outlineLevel="0" collapsed="false">
      <c r="E272" s="33"/>
    </row>
    <row r="273" customFormat="false" ht="15" hidden="false" customHeight="false" outlineLevel="0" collapsed="false">
      <c r="E273" s="33"/>
    </row>
    <row r="274" customFormat="false" ht="15" hidden="false" customHeight="false" outlineLevel="0" collapsed="false">
      <c r="E274" s="33"/>
    </row>
    <row r="275" customFormat="false" ht="15" hidden="false" customHeight="false" outlineLevel="0" collapsed="false">
      <c r="E275" s="33"/>
    </row>
    <row r="276" customFormat="false" ht="15" hidden="false" customHeight="false" outlineLevel="0" collapsed="false">
      <c r="E276" s="33"/>
    </row>
    <row r="277" customFormat="false" ht="15" hidden="false" customHeight="false" outlineLevel="0" collapsed="false">
      <c r="E277" s="33"/>
    </row>
    <row r="278" customFormat="false" ht="15" hidden="false" customHeight="false" outlineLevel="0" collapsed="false">
      <c r="E278" s="33"/>
    </row>
    <row r="279" customFormat="false" ht="15" hidden="false" customHeight="false" outlineLevel="0" collapsed="false">
      <c r="E279" s="33"/>
    </row>
    <row r="280" customFormat="false" ht="15" hidden="false" customHeight="false" outlineLevel="0" collapsed="false">
      <c r="E280" s="33"/>
    </row>
    <row r="281" customFormat="false" ht="15" hidden="false" customHeight="false" outlineLevel="0" collapsed="false">
      <c r="E281" s="33"/>
    </row>
    <row r="282" customFormat="false" ht="15" hidden="false" customHeight="false" outlineLevel="0" collapsed="false">
      <c r="E282" s="33"/>
    </row>
    <row r="283" customFormat="false" ht="15" hidden="false" customHeight="false" outlineLevel="0" collapsed="false">
      <c r="E283" s="33"/>
    </row>
    <row r="284" customFormat="false" ht="15" hidden="false" customHeight="false" outlineLevel="0" collapsed="false">
      <c r="E284" s="33"/>
    </row>
    <row r="285" customFormat="false" ht="15" hidden="false" customHeight="false" outlineLevel="0" collapsed="false">
      <c r="E285" s="33"/>
    </row>
    <row r="286" customFormat="false" ht="15" hidden="false" customHeight="false" outlineLevel="0" collapsed="false">
      <c r="E286" s="33"/>
    </row>
    <row r="287" customFormat="false" ht="15" hidden="false" customHeight="false" outlineLevel="0" collapsed="false">
      <c r="E287" s="33"/>
    </row>
    <row r="288" customFormat="false" ht="15" hidden="false" customHeight="false" outlineLevel="0" collapsed="false">
      <c r="E288" s="33"/>
    </row>
    <row r="289" customFormat="false" ht="15" hidden="false" customHeight="false" outlineLevel="0" collapsed="false">
      <c r="E289" s="33"/>
    </row>
    <row r="290" customFormat="false" ht="15" hidden="false" customHeight="false" outlineLevel="0" collapsed="false">
      <c r="E290" s="33"/>
    </row>
    <row r="291" customFormat="false" ht="15" hidden="false" customHeight="false" outlineLevel="0" collapsed="false">
      <c r="E291" s="33"/>
    </row>
    <row r="292" customFormat="false" ht="15" hidden="false" customHeight="false" outlineLevel="0" collapsed="false">
      <c r="E292" s="33"/>
    </row>
    <row r="293" customFormat="false" ht="15" hidden="false" customHeight="false" outlineLevel="0" collapsed="false">
      <c r="E293" s="33"/>
    </row>
    <row r="294" customFormat="false" ht="15" hidden="false" customHeight="false" outlineLevel="0" collapsed="false">
      <c r="E294" s="33"/>
    </row>
    <row r="295" customFormat="false" ht="15" hidden="false" customHeight="false" outlineLevel="0" collapsed="false">
      <c r="E295" s="33"/>
    </row>
    <row r="296" customFormat="false" ht="15" hidden="false" customHeight="false" outlineLevel="0" collapsed="false">
      <c r="E296" s="33"/>
    </row>
    <row r="297" customFormat="false" ht="15" hidden="false" customHeight="false" outlineLevel="0" collapsed="false">
      <c r="E297" s="33"/>
    </row>
    <row r="298" customFormat="false" ht="15" hidden="false" customHeight="false" outlineLevel="0" collapsed="false">
      <c r="E298" s="33"/>
    </row>
    <row r="299" customFormat="false" ht="15" hidden="false" customHeight="false" outlineLevel="0" collapsed="false">
      <c r="E299" s="33"/>
    </row>
    <row r="300" customFormat="false" ht="15" hidden="false" customHeight="false" outlineLevel="0" collapsed="false">
      <c r="E300" s="33"/>
    </row>
    <row r="301" customFormat="false" ht="15" hidden="false" customHeight="false" outlineLevel="0" collapsed="false">
      <c r="E301" s="33"/>
    </row>
    <row r="302" customFormat="false" ht="15" hidden="false" customHeight="false" outlineLevel="0" collapsed="false">
      <c r="E302" s="33"/>
    </row>
    <row r="303" customFormat="false" ht="15" hidden="false" customHeight="false" outlineLevel="0" collapsed="false">
      <c r="E303" s="33"/>
    </row>
    <row r="304" customFormat="false" ht="15" hidden="false" customHeight="false" outlineLevel="0" collapsed="false">
      <c r="E304" s="33"/>
    </row>
    <row r="305" customFormat="false" ht="15" hidden="false" customHeight="false" outlineLevel="0" collapsed="false">
      <c r="E305" s="33"/>
    </row>
    <row r="306" customFormat="false" ht="15" hidden="false" customHeight="false" outlineLevel="0" collapsed="false">
      <c r="E306" s="33"/>
    </row>
    <row r="307" customFormat="false" ht="15" hidden="false" customHeight="false" outlineLevel="0" collapsed="false">
      <c r="E307" s="33"/>
    </row>
    <row r="308" customFormat="false" ht="15" hidden="false" customHeight="false" outlineLevel="0" collapsed="false">
      <c r="E308" s="33"/>
    </row>
    <row r="309" customFormat="false" ht="15" hidden="false" customHeight="false" outlineLevel="0" collapsed="false">
      <c r="E309" s="33"/>
    </row>
    <row r="310" customFormat="false" ht="15" hidden="false" customHeight="false" outlineLevel="0" collapsed="false">
      <c r="E310" s="33"/>
    </row>
    <row r="311" customFormat="false" ht="15" hidden="false" customHeight="false" outlineLevel="0" collapsed="false">
      <c r="E311" s="33"/>
    </row>
    <row r="312" customFormat="false" ht="15" hidden="false" customHeight="false" outlineLevel="0" collapsed="false">
      <c r="E312" s="33"/>
    </row>
    <row r="313" customFormat="false" ht="15" hidden="false" customHeight="false" outlineLevel="0" collapsed="false">
      <c r="E313" s="33"/>
    </row>
    <row r="314" customFormat="false" ht="15" hidden="false" customHeight="false" outlineLevel="0" collapsed="false">
      <c r="E314" s="33"/>
    </row>
    <row r="315" customFormat="false" ht="15" hidden="false" customHeight="false" outlineLevel="0" collapsed="false">
      <c r="E315" s="33"/>
    </row>
    <row r="316" customFormat="false" ht="15" hidden="false" customHeight="false" outlineLevel="0" collapsed="false">
      <c r="E316" s="33"/>
    </row>
    <row r="317" customFormat="false" ht="15" hidden="false" customHeight="false" outlineLevel="0" collapsed="false">
      <c r="E317" s="33"/>
    </row>
    <row r="318" customFormat="false" ht="15" hidden="false" customHeight="false" outlineLevel="0" collapsed="false">
      <c r="E318" s="33"/>
    </row>
    <row r="319" customFormat="false" ht="15" hidden="false" customHeight="false" outlineLevel="0" collapsed="false">
      <c r="E319" s="33"/>
    </row>
    <row r="320" customFormat="false" ht="15" hidden="false" customHeight="false" outlineLevel="0" collapsed="false">
      <c r="E320" s="33"/>
    </row>
    <row r="321" customFormat="false" ht="15" hidden="false" customHeight="false" outlineLevel="0" collapsed="false">
      <c r="E321" s="33"/>
    </row>
    <row r="322" customFormat="false" ht="15" hidden="false" customHeight="false" outlineLevel="0" collapsed="false">
      <c r="E322" s="33"/>
    </row>
    <row r="323" customFormat="false" ht="15" hidden="false" customHeight="false" outlineLevel="0" collapsed="false">
      <c r="E323" s="33"/>
    </row>
    <row r="324" customFormat="false" ht="15" hidden="false" customHeight="false" outlineLevel="0" collapsed="false">
      <c r="E324" s="33"/>
    </row>
    <row r="325" customFormat="false" ht="15" hidden="false" customHeight="false" outlineLevel="0" collapsed="false">
      <c r="E325" s="33"/>
    </row>
    <row r="326" customFormat="false" ht="15" hidden="false" customHeight="false" outlineLevel="0" collapsed="false">
      <c r="E326" s="33"/>
    </row>
    <row r="327" customFormat="false" ht="15" hidden="false" customHeight="false" outlineLevel="0" collapsed="false">
      <c r="E327" s="33"/>
    </row>
    <row r="328" customFormat="false" ht="15" hidden="false" customHeight="false" outlineLevel="0" collapsed="false">
      <c r="E328" s="33"/>
    </row>
    <row r="329" customFormat="false" ht="15" hidden="false" customHeight="false" outlineLevel="0" collapsed="false">
      <c r="E329" s="33"/>
    </row>
    <row r="330" customFormat="false" ht="15" hidden="false" customHeight="false" outlineLevel="0" collapsed="false">
      <c r="E330" s="33"/>
    </row>
    <row r="331" customFormat="false" ht="15" hidden="false" customHeight="false" outlineLevel="0" collapsed="false">
      <c r="E331" s="33"/>
    </row>
    <row r="332" customFormat="false" ht="15" hidden="false" customHeight="false" outlineLevel="0" collapsed="false">
      <c r="E332" s="33"/>
    </row>
    <row r="333" customFormat="false" ht="15" hidden="false" customHeight="false" outlineLevel="0" collapsed="false">
      <c r="E333" s="33"/>
    </row>
    <row r="334" customFormat="false" ht="15" hidden="false" customHeight="false" outlineLevel="0" collapsed="false">
      <c r="E334" s="33"/>
    </row>
    <row r="335" customFormat="false" ht="15" hidden="false" customHeight="false" outlineLevel="0" collapsed="false">
      <c r="E335" s="33"/>
    </row>
    <row r="336" customFormat="false" ht="15" hidden="false" customHeight="false" outlineLevel="0" collapsed="false">
      <c r="E336" s="33"/>
    </row>
    <row r="337" customFormat="false" ht="15" hidden="false" customHeight="false" outlineLevel="0" collapsed="false">
      <c r="E337" s="33"/>
    </row>
    <row r="338" customFormat="false" ht="15" hidden="false" customHeight="false" outlineLevel="0" collapsed="false">
      <c r="E338" s="33"/>
    </row>
    <row r="339" customFormat="false" ht="15" hidden="false" customHeight="false" outlineLevel="0" collapsed="false">
      <c r="E339" s="33"/>
    </row>
    <row r="340" customFormat="false" ht="15" hidden="false" customHeight="false" outlineLevel="0" collapsed="false">
      <c r="E340" s="33"/>
    </row>
    <row r="341" customFormat="false" ht="15" hidden="false" customHeight="false" outlineLevel="0" collapsed="false">
      <c r="E341" s="33"/>
    </row>
    <row r="342" customFormat="false" ht="15" hidden="false" customHeight="false" outlineLevel="0" collapsed="false">
      <c r="E342" s="33"/>
    </row>
    <row r="343" customFormat="false" ht="15" hidden="false" customHeight="false" outlineLevel="0" collapsed="false">
      <c r="E343" s="33"/>
    </row>
    <row r="344" customFormat="false" ht="15" hidden="false" customHeight="false" outlineLevel="0" collapsed="false">
      <c r="E344" s="33"/>
    </row>
    <row r="345" customFormat="false" ht="15" hidden="false" customHeight="false" outlineLevel="0" collapsed="false">
      <c r="E345" s="33"/>
    </row>
    <row r="346" customFormat="false" ht="15" hidden="false" customHeight="false" outlineLevel="0" collapsed="false">
      <c r="E346" s="33"/>
    </row>
    <row r="347" customFormat="false" ht="15" hidden="false" customHeight="false" outlineLevel="0" collapsed="false">
      <c r="E347" s="33"/>
    </row>
    <row r="348" customFormat="false" ht="15" hidden="false" customHeight="false" outlineLevel="0" collapsed="false">
      <c r="E348" s="33"/>
    </row>
    <row r="349" customFormat="false" ht="15" hidden="false" customHeight="false" outlineLevel="0" collapsed="false">
      <c r="E349" s="33"/>
    </row>
    <row r="350" customFormat="false" ht="15" hidden="false" customHeight="false" outlineLevel="0" collapsed="false">
      <c r="E350" s="33"/>
    </row>
    <row r="351" customFormat="false" ht="15" hidden="false" customHeight="false" outlineLevel="0" collapsed="false">
      <c r="E351" s="33"/>
    </row>
    <row r="352" customFormat="false" ht="15" hidden="false" customHeight="false" outlineLevel="0" collapsed="false">
      <c r="E352" s="33"/>
    </row>
    <row r="353" customFormat="false" ht="15" hidden="false" customHeight="false" outlineLevel="0" collapsed="false">
      <c r="E353" s="33"/>
    </row>
    <row r="354" customFormat="false" ht="15" hidden="false" customHeight="false" outlineLevel="0" collapsed="false">
      <c r="E354" s="33"/>
    </row>
    <row r="355" customFormat="false" ht="15" hidden="false" customHeight="false" outlineLevel="0" collapsed="false">
      <c r="E355" s="33"/>
    </row>
    <row r="356" customFormat="false" ht="15" hidden="false" customHeight="false" outlineLevel="0" collapsed="false">
      <c r="E356" s="33"/>
    </row>
    <row r="357" customFormat="false" ht="15" hidden="false" customHeight="false" outlineLevel="0" collapsed="false">
      <c r="E357" s="33"/>
    </row>
    <row r="358" customFormat="false" ht="15" hidden="false" customHeight="false" outlineLevel="0" collapsed="false">
      <c r="E358" s="33"/>
    </row>
    <row r="359" customFormat="false" ht="15" hidden="false" customHeight="false" outlineLevel="0" collapsed="false">
      <c r="E359" s="33"/>
    </row>
    <row r="360" customFormat="false" ht="15" hidden="false" customHeight="false" outlineLevel="0" collapsed="false">
      <c r="E360" s="33"/>
    </row>
    <row r="361" customFormat="false" ht="15" hidden="false" customHeight="false" outlineLevel="0" collapsed="false">
      <c r="E361" s="33"/>
    </row>
    <row r="362" customFormat="false" ht="15" hidden="false" customHeight="false" outlineLevel="0" collapsed="false">
      <c r="E362" s="33"/>
    </row>
    <row r="363" customFormat="false" ht="15" hidden="false" customHeight="false" outlineLevel="0" collapsed="false">
      <c r="E363" s="33"/>
    </row>
    <row r="364" customFormat="false" ht="15" hidden="false" customHeight="false" outlineLevel="0" collapsed="false">
      <c r="E364" s="33"/>
    </row>
    <row r="365" customFormat="false" ht="15" hidden="false" customHeight="false" outlineLevel="0" collapsed="false">
      <c r="E365" s="33"/>
    </row>
    <row r="366" customFormat="false" ht="15" hidden="false" customHeight="false" outlineLevel="0" collapsed="false">
      <c r="E366" s="33"/>
    </row>
    <row r="367" customFormat="false" ht="15" hidden="false" customHeight="false" outlineLevel="0" collapsed="false">
      <c r="E367" s="33"/>
    </row>
    <row r="368" customFormat="false" ht="15" hidden="false" customHeight="false" outlineLevel="0" collapsed="false">
      <c r="E368" s="33"/>
    </row>
    <row r="369" customFormat="false" ht="15" hidden="false" customHeight="false" outlineLevel="0" collapsed="false">
      <c r="E369" s="33"/>
    </row>
    <row r="370" customFormat="false" ht="15" hidden="false" customHeight="false" outlineLevel="0" collapsed="false">
      <c r="E370" s="33"/>
    </row>
    <row r="371" customFormat="false" ht="15" hidden="false" customHeight="false" outlineLevel="0" collapsed="false">
      <c r="E371" s="33"/>
    </row>
    <row r="372" customFormat="false" ht="15" hidden="false" customHeight="false" outlineLevel="0" collapsed="false">
      <c r="E372" s="33"/>
    </row>
    <row r="373" customFormat="false" ht="15" hidden="false" customHeight="false" outlineLevel="0" collapsed="false">
      <c r="E373" s="33"/>
    </row>
    <row r="374" customFormat="false" ht="15" hidden="false" customHeight="false" outlineLevel="0" collapsed="false">
      <c r="E374" s="33"/>
    </row>
    <row r="375" customFormat="false" ht="15" hidden="false" customHeight="false" outlineLevel="0" collapsed="false">
      <c r="E375" s="33"/>
    </row>
    <row r="376" customFormat="false" ht="15" hidden="false" customHeight="false" outlineLevel="0" collapsed="false">
      <c r="E376" s="33"/>
    </row>
    <row r="377" customFormat="false" ht="15" hidden="false" customHeight="false" outlineLevel="0" collapsed="false">
      <c r="E377" s="33"/>
    </row>
    <row r="378" customFormat="false" ht="15" hidden="false" customHeight="false" outlineLevel="0" collapsed="false">
      <c r="E378" s="33"/>
    </row>
    <row r="379" customFormat="false" ht="15" hidden="false" customHeight="false" outlineLevel="0" collapsed="false">
      <c r="E379" s="33"/>
    </row>
    <row r="380" customFormat="false" ht="15" hidden="false" customHeight="false" outlineLevel="0" collapsed="false">
      <c r="E380" s="33"/>
    </row>
    <row r="381" customFormat="false" ht="15" hidden="false" customHeight="false" outlineLevel="0" collapsed="false">
      <c r="E381" s="33"/>
    </row>
    <row r="382" customFormat="false" ht="15" hidden="false" customHeight="false" outlineLevel="0" collapsed="false">
      <c r="E382" s="33"/>
    </row>
    <row r="383" customFormat="false" ht="15" hidden="false" customHeight="false" outlineLevel="0" collapsed="false">
      <c r="E383" s="33"/>
    </row>
    <row r="384" customFormat="false" ht="15" hidden="false" customHeight="false" outlineLevel="0" collapsed="false">
      <c r="E384" s="33"/>
    </row>
    <row r="385" customFormat="false" ht="15" hidden="false" customHeight="false" outlineLevel="0" collapsed="false">
      <c r="E385" s="33"/>
    </row>
    <row r="386" customFormat="false" ht="15" hidden="false" customHeight="false" outlineLevel="0" collapsed="false">
      <c r="E386" s="33"/>
    </row>
    <row r="387" customFormat="false" ht="15" hidden="false" customHeight="false" outlineLevel="0" collapsed="false">
      <c r="E387" s="33"/>
    </row>
    <row r="388" customFormat="false" ht="15" hidden="false" customHeight="false" outlineLevel="0" collapsed="false">
      <c r="E388" s="33"/>
    </row>
    <row r="389" customFormat="false" ht="15" hidden="false" customHeight="false" outlineLevel="0" collapsed="false">
      <c r="E389" s="33"/>
    </row>
    <row r="390" customFormat="false" ht="15" hidden="false" customHeight="false" outlineLevel="0" collapsed="false">
      <c r="E390" s="33"/>
    </row>
    <row r="391" customFormat="false" ht="15" hidden="false" customHeight="false" outlineLevel="0" collapsed="false">
      <c r="E391" s="33"/>
    </row>
    <row r="392" customFormat="false" ht="15" hidden="false" customHeight="false" outlineLevel="0" collapsed="false">
      <c r="E392" s="33"/>
    </row>
    <row r="393" customFormat="false" ht="15" hidden="false" customHeight="false" outlineLevel="0" collapsed="false">
      <c r="E393" s="33"/>
    </row>
    <row r="394" customFormat="false" ht="15" hidden="false" customHeight="false" outlineLevel="0" collapsed="false">
      <c r="E394" s="33"/>
    </row>
    <row r="395" customFormat="false" ht="15" hidden="false" customHeight="false" outlineLevel="0" collapsed="false">
      <c r="E395" s="33"/>
    </row>
    <row r="396" customFormat="false" ht="15" hidden="false" customHeight="false" outlineLevel="0" collapsed="false">
      <c r="E396" s="33"/>
    </row>
    <row r="397" customFormat="false" ht="15" hidden="false" customHeight="false" outlineLevel="0" collapsed="false">
      <c r="E397" s="33"/>
    </row>
    <row r="398" customFormat="false" ht="15" hidden="false" customHeight="false" outlineLevel="0" collapsed="false">
      <c r="E398" s="33"/>
    </row>
    <row r="399" customFormat="false" ht="15" hidden="false" customHeight="false" outlineLevel="0" collapsed="false">
      <c r="E399" s="33"/>
    </row>
    <row r="400" customFormat="false" ht="15" hidden="false" customHeight="false" outlineLevel="0" collapsed="false">
      <c r="E400" s="33"/>
    </row>
    <row r="401" customFormat="false" ht="15" hidden="false" customHeight="false" outlineLevel="0" collapsed="false">
      <c r="E401" s="33"/>
    </row>
    <row r="402" customFormat="false" ht="15" hidden="false" customHeight="false" outlineLevel="0" collapsed="false">
      <c r="E402" s="33"/>
    </row>
    <row r="403" customFormat="false" ht="15" hidden="false" customHeight="false" outlineLevel="0" collapsed="false">
      <c r="E403" s="33"/>
    </row>
    <row r="404" customFormat="false" ht="15" hidden="false" customHeight="false" outlineLevel="0" collapsed="false">
      <c r="E404" s="33"/>
    </row>
    <row r="405" customFormat="false" ht="15" hidden="false" customHeight="false" outlineLevel="0" collapsed="false">
      <c r="E405" s="33"/>
    </row>
    <row r="406" customFormat="false" ht="15" hidden="false" customHeight="false" outlineLevel="0" collapsed="false">
      <c r="E406" s="33"/>
    </row>
    <row r="407" customFormat="false" ht="15" hidden="false" customHeight="false" outlineLevel="0" collapsed="false">
      <c r="E407" s="33"/>
    </row>
    <row r="408" customFormat="false" ht="15" hidden="false" customHeight="false" outlineLevel="0" collapsed="false">
      <c r="E408" s="33"/>
    </row>
    <row r="409" customFormat="false" ht="15" hidden="false" customHeight="false" outlineLevel="0" collapsed="false">
      <c r="E409" s="33"/>
    </row>
    <row r="410" customFormat="false" ht="15" hidden="false" customHeight="false" outlineLevel="0" collapsed="false">
      <c r="E410" s="33"/>
    </row>
    <row r="411" customFormat="false" ht="15" hidden="false" customHeight="false" outlineLevel="0" collapsed="false">
      <c r="E411" s="33"/>
    </row>
    <row r="412" customFormat="false" ht="15" hidden="false" customHeight="false" outlineLevel="0" collapsed="false">
      <c r="E412" s="33"/>
    </row>
    <row r="413" customFormat="false" ht="15" hidden="false" customHeight="false" outlineLevel="0" collapsed="false">
      <c r="E413" s="33"/>
    </row>
    <row r="414" customFormat="false" ht="15" hidden="false" customHeight="false" outlineLevel="0" collapsed="false">
      <c r="E414" s="33"/>
    </row>
    <row r="415" customFormat="false" ht="15" hidden="false" customHeight="false" outlineLevel="0" collapsed="false">
      <c r="E415" s="33"/>
    </row>
    <row r="416" customFormat="false" ht="15" hidden="false" customHeight="false" outlineLevel="0" collapsed="false">
      <c r="E416" s="33"/>
    </row>
    <row r="417" customFormat="false" ht="15" hidden="false" customHeight="false" outlineLevel="0" collapsed="false">
      <c r="E417" s="33"/>
    </row>
    <row r="418" customFormat="false" ht="15" hidden="false" customHeight="false" outlineLevel="0" collapsed="false">
      <c r="E418" s="33"/>
    </row>
    <row r="419" customFormat="false" ht="15" hidden="false" customHeight="false" outlineLevel="0" collapsed="false">
      <c r="E419" s="33"/>
    </row>
    <row r="420" customFormat="false" ht="15" hidden="false" customHeight="false" outlineLevel="0" collapsed="false">
      <c r="E420" s="33"/>
    </row>
    <row r="421" customFormat="false" ht="15" hidden="false" customHeight="false" outlineLevel="0" collapsed="false">
      <c r="E421" s="33"/>
    </row>
    <row r="422" customFormat="false" ht="15" hidden="false" customHeight="false" outlineLevel="0" collapsed="false">
      <c r="E422" s="33"/>
    </row>
    <row r="423" customFormat="false" ht="15" hidden="false" customHeight="false" outlineLevel="0" collapsed="false">
      <c r="E423" s="33"/>
    </row>
    <row r="424" customFormat="false" ht="15" hidden="false" customHeight="false" outlineLevel="0" collapsed="false">
      <c r="E424" s="33"/>
    </row>
    <row r="425" customFormat="false" ht="15" hidden="false" customHeight="false" outlineLevel="0" collapsed="false">
      <c r="E425" s="33"/>
    </row>
    <row r="426" customFormat="false" ht="15" hidden="false" customHeight="false" outlineLevel="0" collapsed="false">
      <c r="E426" s="33"/>
    </row>
    <row r="427" customFormat="false" ht="15" hidden="false" customHeight="false" outlineLevel="0" collapsed="false">
      <c r="E427" s="33"/>
    </row>
    <row r="428" customFormat="false" ht="15" hidden="false" customHeight="false" outlineLevel="0" collapsed="false">
      <c r="E428" s="33"/>
    </row>
    <row r="429" customFormat="false" ht="15" hidden="false" customHeight="false" outlineLevel="0" collapsed="false">
      <c r="E429" s="33"/>
    </row>
    <row r="430" customFormat="false" ht="15" hidden="false" customHeight="false" outlineLevel="0" collapsed="false">
      <c r="E430" s="33"/>
    </row>
    <row r="431" customFormat="false" ht="15" hidden="false" customHeight="false" outlineLevel="0" collapsed="false">
      <c r="E431" s="33"/>
    </row>
    <row r="432" customFormat="false" ht="15" hidden="false" customHeight="false" outlineLevel="0" collapsed="false">
      <c r="E432" s="33"/>
    </row>
    <row r="433" customFormat="false" ht="15" hidden="false" customHeight="false" outlineLevel="0" collapsed="false">
      <c r="E433" s="33"/>
    </row>
    <row r="434" customFormat="false" ht="15" hidden="false" customHeight="false" outlineLevel="0" collapsed="false">
      <c r="E434" s="33"/>
    </row>
    <row r="435" customFormat="false" ht="15" hidden="false" customHeight="false" outlineLevel="0" collapsed="false">
      <c r="E435" s="33"/>
    </row>
    <row r="436" customFormat="false" ht="15" hidden="false" customHeight="false" outlineLevel="0" collapsed="false">
      <c r="E436" s="33"/>
    </row>
    <row r="437" customFormat="false" ht="15" hidden="false" customHeight="false" outlineLevel="0" collapsed="false">
      <c r="E437" s="33"/>
    </row>
    <row r="438" customFormat="false" ht="15" hidden="false" customHeight="false" outlineLevel="0" collapsed="false">
      <c r="E438" s="33"/>
    </row>
    <row r="439" customFormat="false" ht="15" hidden="false" customHeight="false" outlineLevel="0" collapsed="false">
      <c r="E439" s="33"/>
    </row>
    <row r="440" customFormat="false" ht="15" hidden="false" customHeight="false" outlineLevel="0" collapsed="false">
      <c r="E440" s="33"/>
    </row>
    <row r="441" customFormat="false" ht="15" hidden="false" customHeight="false" outlineLevel="0" collapsed="false">
      <c r="E441" s="33"/>
    </row>
    <row r="442" customFormat="false" ht="15" hidden="false" customHeight="false" outlineLevel="0" collapsed="false">
      <c r="E442" s="33"/>
    </row>
    <row r="443" customFormat="false" ht="15" hidden="false" customHeight="false" outlineLevel="0" collapsed="false">
      <c r="E443" s="33"/>
    </row>
    <row r="444" customFormat="false" ht="15" hidden="false" customHeight="false" outlineLevel="0" collapsed="false">
      <c r="E444" s="33"/>
    </row>
    <row r="445" customFormat="false" ht="15" hidden="false" customHeight="false" outlineLevel="0" collapsed="false">
      <c r="E445" s="33"/>
    </row>
    <row r="446" customFormat="false" ht="15" hidden="false" customHeight="false" outlineLevel="0" collapsed="false">
      <c r="E446" s="33"/>
    </row>
    <row r="447" customFormat="false" ht="15" hidden="false" customHeight="false" outlineLevel="0" collapsed="false">
      <c r="E447" s="33"/>
    </row>
    <row r="448" customFormat="false" ht="15" hidden="false" customHeight="false" outlineLevel="0" collapsed="false">
      <c r="E448" s="33"/>
    </row>
    <row r="449" customFormat="false" ht="15" hidden="false" customHeight="false" outlineLevel="0" collapsed="false">
      <c r="E449" s="33"/>
    </row>
    <row r="450" customFormat="false" ht="15" hidden="false" customHeight="false" outlineLevel="0" collapsed="false">
      <c r="E450" s="33"/>
    </row>
    <row r="451" customFormat="false" ht="15" hidden="false" customHeight="false" outlineLevel="0" collapsed="false">
      <c r="E451" s="33"/>
    </row>
    <row r="452" customFormat="false" ht="15" hidden="false" customHeight="false" outlineLevel="0" collapsed="false">
      <c r="E452" s="33"/>
    </row>
    <row r="453" customFormat="false" ht="15" hidden="false" customHeight="false" outlineLevel="0" collapsed="false">
      <c r="E453" s="33"/>
    </row>
    <row r="454" customFormat="false" ht="15" hidden="false" customHeight="false" outlineLevel="0" collapsed="false">
      <c r="E454" s="33"/>
    </row>
    <row r="455" customFormat="false" ht="15" hidden="false" customHeight="false" outlineLevel="0" collapsed="false">
      <c r="E455" s="33"/>
    </row>
    <row r="456" customFormat="false" ht="15" hidden="false" customHeight="false" outlineLevel="0" collapsed="false">
      <c r="E456" s="33"/>
    </row>
    <row r="457" customFormat="false" ht="15" hidden="false" customHeight="false" outlineLevel="0" collapsed="false">
      <c r="E457" s="33"/>
    </row>
    <row r="458" customFormat="false" ht="15" hidden="false" customHeight="false" outlineLevel="0" collapsed="false">
      <c r="E458" s="33"/>
    </row>
    <row r="459" customFormat="false" ht="15" hidden="false" customHeight="false" outlineLevel="0" collapsed="false">
      <c r="E459" s="33"/>
    </row>
    <row r="460" customFormat="false" ht="15" hidden="false" customHeight="false" outlineLevel="0" collapsed="false">
      <c r="E460" s="33"/>
    </row>
    <row r="461" customFormat="false" ht="15" hidden="false" customHeight="false" outlineLevel="0" collapsed="false">
      <c r="E461" s="33"/>
    </row>
    <row r="462" customFormat="false" ht="15" hidden="false" customHeight="false" outlineLevel="0" collapsed="false">
      <c r="E462" s="33"/>
    </row>
    <row r="463" customFormat="false" ht="15" hidden="false" customHeight="false" outlineLevel="0" collapsed="false">
      <c r="E463" s="33"/>
    </row>
    <row r="464" customFormat="false" ht="15" hidden="false" customHeight="false" outlineLevel="0" collapsed="false">
      <c r="E464" s="33"/>
    </row>
    <row r="465" customFormat="false" ht="15" hidden="false" customHeight="false" outlineLevel="0" collapsed="false">
      <c r="E465" s="33"/>
    </row>
    <row r="466" customFormat="false" ht="15" hidden="false" customHeight="false" outlineLevel="0" collapsed="false">
      <c r="E466" s="33"/>
    </row>
    <row r="467" customFormat="false" ht="15" hidden="false" customHeight="false" outlineLevel="0" collapsed="false">
      <c r="E467" s="33"/>
    </row>
    <row r="468" customFormat="false" ht="15" hidden="false" customHeight="false" outlineLevel="0" collapsed="false">
      <c r="E468" s="33"/>
    </row>
    <row r="469" customFormat="false" ht="15" hidden="false" customHeight="false" outlineLevel="0" collapsed="false">
      <c r="E469" s="33"/>
    </row>
    <row r="470" customFormat="false" ht="15" hidden="false" customHeight="false" outlineLevel="0" collapsed="false">
      <c r="E470" s="33"/>
    </row>
    <row r="471" customFormat="false" ht="15" hidden="false" customHeight="false" outlineLevel="0" collapsed="false">
      <c r="E471" s="33"/>
    </row>
    <row r="472" customFormat="false" ht="15" hidden="false" customHeight="false" outlineLevel="0" collapsed="false">
      <c r="E472" s="33"/>
    </row>
    <row r="473" customFormat="false" ht="15" hidden="false" customHeight="false" outlineLevel="0" collapsed="false">
      <c r="E473" s="33"/>
    </row>
    <row r="474" customFormat="false" ht="15" hidden="false" customHeight="false" outlineLevel="0" collapsed="false">
      <c r="E474" s="33"/>
    </row>
    <row r="475" customFormat="false" ht="15" hidden="false" customHeight="false" outlineLevel="0" collapsed="false">
      <c r="E475" s="33"/>
    </row>
    <row r="476" customFormat="false" ht="15" hidden="false" customHeight="false" outlineLevel="0" collapsed="false">
      <c r="E476" s="33"/>
    </row>
    <row r="477" customFormat="false" ht="15" hidden="false" customHeight="false" outlineLevel="0" collapsed="false">
      <c r="E477" s="33"/>
    </row>
    <row r="478" customFormat="false" ht="15" hidden="false" customHeight="false" outlineLevel="0" collapsed="false">
      <c r="E478" s="33"/>
    </row>
    <row r="479" customFormat="false" ht="15" hidden="false" customHeight="false" outlineLevel="0" collapsed="false">
      <c r="E479" s="33"/>
    </row>
    <row r="480" customFormat="false" ht="15" hidden="false" customHeight="false" outlineLevel="0" collapsed="false">
      <c r="E480" s="33"/>
    </row>
    <row r="481" customFormat="false" ht="15" hidden="false" customHeight="false" outlineLevel="0" collapsed="false">
      <c r="E481" s="33"/>
    </row>
    <row r="482" customFormat="false" ht="15" hidden="false" customHeight="false" outlineLevel="0" collapsed="false">
      <c r="E482" s="33"/>
    </row>
    <row r="483" customFormat="false" ht="15" hidden="false" customHeight="false" outlineLevel="0" collapsed="false">
      <c r="E483" s="33"/>
    </row>
    <row r="484" customFormat="false" ht="15" hidden="false" customHeight="false" outlineLevel="0" collapsed="false">
      <c r="E484" s="33"/>
    </row>
    <row r="485" customFormat="false" ht="15" hidden="false" customHeight="false" outlineLevel="0" collapsed="false">
      <c r="E485" s="33"/>
    </row>
    <row r="486" customFormat="false" ht="15" hidden="false" customHeight="false" outlineLevel="0" collapsed="false">
      <c r="E486" s="33"/>
    </row>
    <row r="487" customFormat="false" ht="15" hidden="false" customHeight="false" outlineLevel="0" collapsed="false">
      <c r="E487" s="33"/>
    </row>
    <row r="488" customFormat="false" ht="15" hidden="false" customHeight="false" outlineLevel="0" collapsed="false">
      <c r="E488" s="33"/>
    </row>
    <row r="489" customFormat="false" ht="15" hidden="false" customHeight="false" outlineLevel="0" collapsed="false">
      <c r="E489" s="33"/>
    </row>
    <row r="490" customFormat="false" ht="15" hidden="false" customHeight="false" outlineLevel="0" collapsed="false">
      <c r="E490" s="33"/>
    </row>
    <row r="491" customFormat="false" ht="15" hidden="false" customHeight="false" outlineLevel="0" collapsed="false">
      <c r="E491" s="33"/>
    </row>
    <row r="492" customFormat="false" ht="15" hidden="false" customHeight="false" outlineLevel="0" collapsed="false">
      <c r="E492" s="33"/>
    </row>
    <row r="493" customFormat="false" ht="15" hidden="false" customHeight="false" outlineLevel="0" collapsed="false">
      <c r="E493" s="33"/>
    </row>
    <row r="494" customFormat="false" ht="15" hidden="false" customHeight="false" outlineLevel="0" collapsed="false">
      <c r="E494" s="33"/>
    </row>
    <row r="495" customFormat="false" ht="15" hidden="false" customHeight="false" outlineLevel="0" collapsed="false">
      <c r="E495" s="33"/>
    </row>
    <row r="496" customFormat="false" ht="15" hidden="false" customHeight="false" outlineLevel="0" collapsed="false">
      <c r="E496" s="33"/>
    </row>
    <row r="497" customFormat="false" ht="15" hidden="false" customHeight="false" outlineLevel="0" collapsed="false">
      <c r="E497" s="33"/>
    </row>
    <row r="498" customFormat="false" ht="15" hidden="false" customHeight="false" outlineLevel="0" collapsed="false">
      <c r="E498" s="33"/>
    </row>
    <row r="499" customFormat="false" ht="15" hidden="false" customHeight="false" outlineLevel="0" collapsed="false">
      <c r="E499" s="33"/>
    </row>
    <row r="500" customFormat="false" ht="15" hidden="false" customHeight="false" outlineLevel="0" collapsed="false">
      <c r="E500" s="33"/>
    </row>
  </sheetData>
  <autoFilter ref="A1:I500"/>
  <conditionalFormatting sqref="A2:I500">
    <cfRule type="expression" priority="2" aboveAverage="0" equalAverage="0" bottom="0" percent="0" rank="0" text="" dxfId="9">
      <formula>$G2="Вырезано"</formula>
    </cfRule>
    <cfRule type="expression" priority="3" aboveAverage="0" equalAverage="0" bottom="0" percent="0" rank="0" text="" dxfId="10">
      <formula>$G2="Готово"</formula>
    </cfRule>
    <cfRule type="expression" priority="4" aboveAverage="0" equalAverage="0" bottom="0" percent="0" rank="0" text="" dxfId="11">
      <formula>$G2="Доработать"</formula>
    </cfRule>
    <cfRule type="expression" priority="5" aboveAverage="0" equalAverage="0" bottom="0" percent="0" rank="0" text="" dxfId="12">
      <formula>$G2="На проверке"</formula>
    </cfRule>
    <cfRule type="expression" priority="6" aboveAverage="0" equalAverage="0" bottom="0" percent="0" rank="0" text="" dxfId="13">
      <formula>$G2="В работе"</formula>
    </cfRule>
    <cfRule type="expression" priority="7" aboveAverage="0" equalAverage="0" bottom="0" percent="0" rank="0" text="" dxfId="14">
      <formula>$G2="Не начато"</formula>
    </cfRule>
  </conditionalFormatting>
  <conditionalFormatting sqref="H2:H500">
    <cfRule type="cellIs" priority="8" operator="equal" aboveAverage="0" equalAverage="0" bottom="0" percent="0" rank="0" text="" dxfId="15">
      <formula>"Высокий"</formula>
    </cfRule>
  </conditionalFormatting>
  <conditionalFormatting sqref="E2:E500">
    <cfRule type="expression" priority="9" aboveAverage="0" equalAverage="0" bottom="0" percent="0" rank="0" text="" dxfId="16">
      <formula>AND($E2&lt;&gt;"",$E2&lt;TODAY(),$G2&lt;&gt;"Готово",$G2&lt;&gt;"Вырезано")</formula>
    </cfRule>
    <cfRule type="expression" priority="10" aboveAverage="0" equalAverage="0" bottom="0" percent="0" rank="0" text="" dxfId="17">
      <formula>AND($E2&lt;&gt;"",$E2-TODAY()&lt;=2,$G2&lt;&gt;"Готово",$G2&lt;&gt;"Вырезано")</formula>
    </cfRule>
  </conditionalFormatting>
  <dataValidations count="4">
    <dataValidation allowBlank="true" error="Выберите значение из списка" errorStyle="stop" errorTitle="Блок задач" operator="between" prompt="Выберите из списка" promptTitle="Блок задач" showDropDown="false" showErrorMessage="false" showInputMessage="false" sqref="B2:B500" type="list">
      <formula1>Справочник!$G$2:$G$7</formula1>
      <formula2>0</formula2>
    </dataValidation>
    <dataValidation allowBlank="true" error="Выберите значение из списка" errorStyle="stop" errorTitle="Статус" operator="between" prompt="Выберите из списка" promptTitle="Статус" showDropDown="false" showErrorMessage="false" showInputMessage="false" sqref="G2:G500" type="list">
      <formula1>Справочник!$A$2:$A$7</formula1>
      <formula2>0</formula2>
    </dataValidation>
    <dataValidation allowBlank="true" error="Выберите значение из списка" errorStyle="stop" errorTitle="Приоритет" operator="between" prompt="Выберите из списка" promptTitle="Приоритет" showDropDown="false" showErrorMessage="false" showInputMessage="false" sqref="H2:H500" type="list">
      <formula1>Справочник!$B$2:$B$4</formula1>
      <formula2>0</formula2>
    </dataValidation>
    <dataValidation allowBlank="true" error="Введите дату в формате ДД.ММ.ГГГГ" errorStyle="stop" operator="greaterThan" showDropDown="false" showErrorMessage="false" showInputMessage="false" sqref="E2:E500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4"/>
  </cols>
  <sheetData>
    <row r="1" customFormat="false" ht="15" hidden="false" customHeight="false" outlineLevel="0" collapsed="false">
      <c r="A1" s="41" t="s">
        <v>86</v>
      </c>
      <c r="B1" s="41" t="s">
        <v>87</v>
      </c>
      <c r="C1" s="41" t="s">
        <v>853</v>
      </c>
      <c r="D1" s="41" t="s">
        <v>191</v>
      </c>
      <c r="E1" s="41" t="s">
        <v>854</v>
      </c>
      <c r="F1" s="41" t="s">
        <v>186</v>
      </c>
      <c r="G1" s="41" t="s">
        <v>855</v>
      </c>
      <c r="H1" s="41" t="s">
        <v>856</v>
      </c>
    </row>
    <row r="2" customFormat="false" ht="15" hidden="false" customHeight="false" outlineLevel="0" collapsed="false">
      <c r="A2" s="42" t="s">
        <v>27</v>
      </c>
      <c r="B2" s="43" t="s">
        <v>99</v>
      </c>
      <c r="C2" s="43" t="s">
        <v>452</v>
      </c>
      <c r="D2" s="43" t="s">
        <v>200</v>
      </c>
      <c r="E2" s="43" t="s">
        <v>44</v>
      </c>
      <c r="F2" s="43" t="s">
        <v>196</v>
      </c>
      <c r="G2" s="43" t="s">
        <v>777</v>
      </c>
      <c r="H2" s="43" t="s">
        <v>722</v>
      </c>
    </row>
    <row r="3" customFormat="false" ht="15" hidden="false" customHeight="false" outlineLevel="0" collapsed="false">
      <c r="A3" s="44" t="s">
        <v>28</v>
      </c>
      <c r="B3" s="43" t="s">
        <v>108</v>
      </c>
      <c r="C3" s="43" t="s">
        <v>481</v>
      </c>
      <c r="D3" s="43" t="s">
        <v>857</v>
      </c>
      <c r="E3" s="43" t="s">
        <v>45</v>
      </c>
      <c r="F3" s="43" t="s">
        <v>108</v>
      </c>
      <c r="G3" s="43" t="s">
        <v>790</v>
      </c>
      <c r="H3" s="43" t="s">
        <v>726</v>
      </c>
    </row>
    <row r="4" customFormat="false" ht="15" hidden="false" customHeight="false" outlineLevel="0" collapsed="false">
      <c r="A4" s="45" t="s">
        <v>29</v>
      </c>
      <c r="B4" s="43" t="s">
        <v>796</v>
      </c>
      <c r="C4" s="43" t="s">
        <v>510</v>
      </c>
      <c r="D4" s="43" t="s">
        <v>858</v>
      </c>
      <c r="E4" s="43" t="s">
        <v>46</v>
      </c>
      <c r="F4" s="43" t="s">
        <v>238</v>
      </c>
      <c r="G4" s="43" t="s">
        <v>47</v>
      </c>
      <c r="H4" s="43" t="s">
        <v>745</v>
      </c>
    </row>
    <row r="5" customFormat="false" ht="15" hidden="false" customHeight="false" outlineLevel="0" collapsed="false">
      <c r="A5" s="46" t="s">
        <v>30</v>
      </c>
      <c r="C5" s="43" t="s">
        <v>529</v>
      </c>
      <c r="D5" s="43" t="s">
        <v>859</v>
      </c>
      <c r="E5" s="43" t="s">
        <v>47</v>
      </c>
      <c r="F5" s="43" t="s">
        <v>300</v>
      </c>
      <c r="G5" s="43" t="s">
        <v>821</v>
      </c>
      <c r="H5" s="43" t="s">
        <v>759</v>
      </c>
    </row>
    <row r="6" customFormat="false" ht="15" hidden="false" customHeight="false" outlineLevel="0" collapsed="false">
      <c r="A6" s="47" t="s">
        <v>31</v>
      </c>
      <c r="C6" s="43" t="s">
        <v>545</v>
      </c>
      <c r="D6" s="43" t="s">
        <v>860</v>
      </c>
      <c r="E6" s="43" t="s">
        <v>48</v>
      </c>
      <c r="F6" s="43" t="s">
        <v>212</v>
      </c>
      <c r="G6" s="43" t="s">
        <v>38</v>
      </c>
      <c r="H6" s="43" t="s">
        <v>719</v>
      </c>
    </row>
    <row r="7" customFormat="false" ht="15" hidden="false" customHeight="false" outlineLevel="0" collapsed="false">
      <c r="A7" s="48" t="s">
        <v>32</v>
      </c>
      <c r="C7" s="43" t="s">
        <v>71</v>
      </c>
      <c r="D7" s="43" t="s">
        <v>861</v>
      </c>
      <c r="E7" s="43" t="s">
        <v>49</v>
      </c>
      <c r="F7" s="43" t="s">
        <v>378</v>
      </c>
      <c r="G7" s="43" t="s">
        <v>839</v>
      </c>
    </row>
    <row r="8" customFormat="false" ht="15" hidden="false" customHeight="false" outlineLevel="0" collapsed="false">
      <c r="C8" s="43" t="s">
        <v>635</v>
      </c>
      <c r="E8" s="43" t="s">
        <v>50</v>
      </c>
    </row>
    <row r="9" customFormat="false" ht="15" hidden="false" customHeight="false" outlineLevel="0" collapsed="false">
      <c r="C9" s="43" t="s">
        <v>647</v>
      </c>
    </row>
    <row r="10" customFormat="false" ht="15" hidden="false" customHeight="false" outlineLevel="0" collapsed="false">
      <c r="C10" s="43" t="s">
        <v>660</v>
      </c>
    </row>
    <row r="12" customFormat="false" ht="15" hidden="false" customHeight="false" outlineLevel="0" collapsed="false">
      <c r="A12" s="49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2026-10-30T16:49:30Z</dcterms:created>
  <dc:creator>openpyxl</dc:creator>
  <dc:description/>
  <dc:language>en-US</dc:language>
  <cp:lastModifiedBy/>
  <dcterms:modified xsi:type="dcterms:W3CDTF">2026-10-30T19:49:31Z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